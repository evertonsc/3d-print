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ngconsti-my.sharepoint.com/personal/everton_portaldesuporte_com_br/Documents/1-Tom Studio 3D/Administrativo/Financeiro/"/>
    </mc:Choice>
  </mc:AlternateContent>
  <xr:revisionPtr revIDLastSave="664" documentId="14_{2C14789E-A9D1-6F44-B09E-6058326A5896}" xr6:coauthVersionLast="47" xr6:coauthVersionMax="47" xr10:uidLastSave="{69DB486D-AF3E-E545-89E0-C98460B6879F}"/>
  <bookViews>
    <workbookView xWindow="-40" yWindow="600" windowWidth="28720" windowHeight="17400" xr2:uid="{190147A8-A34A-4E40-93F9-4A6D08D06362}"/>
  </bookViews>
  <sheets>
    <sheet name="Produtos" sheetId="1" r:id="rId1"/>
    <sheet name="Embalagem" sheetId="2" r:id="rId2"/>
    <sheet name="Impressoras" sheetId="5" r:id="rId3"/>
    <sheet name="Outros" sheetId="4" r:id="rId4"/>
    <sheet name="Filamentos" sheetId="3" r:id="rId5"/>
    <sheet name="DRE" sheetId="6" r:id="rId6"/>
    <sheet name="Cadastro de Produ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7" l="1"/>
  <c r="K36" i="7"/>
  <c r="I35" i="7"/>
  <c r="M40" i="1"/>
  <c r="L40" i="1"/>
  <c r="K40" i="1"/>
  <c r="J40" i="1"/>
  <c r="N40" i="1" s="1"/>
  <c r="O40" i="1" s="1"/>
  <c r="H40" i="1"/>
  <c r="U39" i="1"/>
  <c r="M39" i="1"/>
  <c r="L39" i="1"/>
  <c r="K39" i="1"/>
  <c r="J39" i="1"/>
  <c r="H39" i="1"/>
  <c r="U38" i="1"/>
  <c r="M38" i="1"/>
  <c r="L38" i="1"/>
  <c r="K38" i="1"/>
  <c r="J38" i="1"/>
  <c r="H38" i="1"/>
  <c r="J37" i="1"/>
  <c r="K37" i="1"/>
  <c r="L37" i="1"/>
  <c r="M37" i="1"/>
  <c r="U37" i="1"/>
  <c r="J41" i="1"/>
  <c r="K41" i="1"/>
  <c r="L41" i="1"/>
  <c r="M41" i="1"/>
  <c r="U35" i="1"/>
  <c r="K36" i="1"/>
  <c r="L36" i="1"/>
  <c r="M36" i="1"/>
  <c r="J36" i="1"/>
  <c r="H36" i="1"/>
  <c r="J35" i="1"/>
  <c r="K35" i="1"/>
  <c r="L35" i="1"/>
  <c r="M35" i="1"/>
  <c r="K34" i="1"/>
  <c r="L34" i="1"/>
  <c r="M34" i="1"/>
  <c r="H35" i="1"/>
  <c r="J34" i="1"/>
  <c r="U34" i="1"/>
  <c r="H34" i="1"/>
  <c r="U33" i="1"/>
  <c r="M33" i="1"/>
  <c r="L33" i="1"/>
  <c r="K33" i="1"/>
  <c r="J33" i="1"/>
  <c r="K8" i="1"/>
  <c r="E31" i="1"/>
  <c r="J31" i="1" s="1"/>
  <c r="F28" i="1"/>
  <c r="K28" i="1" s="1"/>
  <c r="U32" i="1"/>
  <c r="M32" i="1"/>
  <c r="L32" i="1"/>
  <c r="K32" i="1"/>
  <c r="J32" i="1"/>
  <c r="M31" i="1"/>
  <c r="E30" i="1"/>
  <c r="E28" i="1" s="1"/>
  <c r="C26" i="2"/>
  <c r="C27" i="2"/>
  <c r="C28" i="2"/>
  <c r="C29" i="2"/>
  <c r="C25" i="2"/>
  <c r="C17" i="2"/>
  <c r="C18" i="2"/>
  <c r="C19" i="2"/>
  <c r="C20" i="2"/>
  <c r="C16" i="2"/>
  <c r="D10" i="2"/>
  <c r="D11" i="2"/>
  <c r="D12" i="2"/>
  <c r="D9" i="2"/>
  <c r="D8" i="2"/>
  <c r="A7" i="6"/>
  <c r="E7" i="6" s="1"/>
  <c r="A8" i="6"/>
  <c r="M8" i="6" s="1"/>
  <c r="P8" i="6" s="1"/>
  <c r="A9" i="6"/>
  <c r="M9" i="6" s="1"/>
  <c r="P9" i="6" s="1"/>
  <c r="A10" i="6"/>
  <c r="N10" i="6" s="1"/>
  <c r="A11" i="6"/>
  <c r="H11" i="6" s="1"/>
  <c r="A12" i="6"/>
  <c r="K12" i="6" s="1"/>
  <c r="A13" i="6"/>
  <c r="K13" i="6" s="1"/>
  <c r="A14" i="6"/>
  <c r="H14" i="6" s="1"/>
  <c r="A15" i="6"/>
  <c r="H15" i="6" s="1"/>
  <c r="A16" i="6"/>
  <c r="E16" i="6" s="1"/>
  <c r="A17" i="6"/>
  <c r="E17" i="6" s="1"/>
  <c r="A18" i="6"/>
  <c r="H18" i="6" s="1"/>
  <c r="L22" i="1"/>
  <c r="L23" i="1"/>
  <c r="L24" i="1"/>
  <c r="L25" i="1"/>
  <c r="L26" i="1"/>
  <c r="L27" i="1"/>
  <c r="L28" i="1"/>
  <c r="L29" i="1"/>
  <c r="L30" i="1"/>
  <c r="L31" i="1"/>
  <c r="K22" i="1"/>
  <c r="K23" i="1"/>
  <c r="K24" i="1"/>
  <c r="K25" i="1"/>
  <c r="K26" i="1"/>
  <c r="K27" i="1"/>
  <c r="K29" i="1"/>
  <c r="K30" i="1"/>
  <c r="K31" i="1"/>
  <c r="K21" i="1"/>
  <c r="U13" i="1"/>
  <c r="U14" i="1"/>
  <c r="U15" i="1"/>
  <c r="U16" i="1"/>
  <c r="U17" i="1"/>
  <c r="U18" i="1"/>
  <c r="U19" i="1"/>
  <c r="U20" i="1"/>
  <c r="U24" i="1"/>
  <c r="I10" i="3"/>
  <c r="M12" i="1"/>
  <c r="L12" i="1"/>
  <c r="L13" i="1"/>
  <c r="L14" i="1"/>
  <c r="L15" i="1"/>
  <c r="L16" i="1"/>
  <c r="L17" i="1"/>
  <c r="L18" i="1"/>
  <c r="L19" i="1"/>
  <c r="L20" i="1"/>
  <c r="L21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11" i="1"/>
  <c r="K11" i="1"/>
  <c r="K12" i="1"/>
  <c r="J11" i="1"/>
  <c r="J12" i="1"/>
  <c r="J16" i="1"/>
  <c r="J17" i="1"/>
  <c r="J18" i="1"/>
  <c r="J19" i="1"/>
  <c r="J20" i="1"/>
  <c r="J21" i="1"/>
  <c r="J22" i="1"/>
  <c r="J23" i="1"/>
  <c r="J24" i="1"/>
  <c r="J25" i="1"/>
  <c r="J26" i="1"/>
  <c r="J27" i="1"/>
  <c r="J29" i="1"/>
  <c r="K15" i="1"/>
  <c r="K16" i="1"/>
  <c r="K17" i="1"/>
  <c r="K18" i="1"/>
  <c r="K19" i="1"/>
  <c r="K20" i="1"/>
  <c r="K14" i="1"/>
  <c r="L9" i="1"/>
  <c r="L10" i="1"/>
  <c r="K9" i="1"/>
  <c r="K10" i="1"/>
  <c r="K13" i="1"/>
  <c r="A6" i="6"/>
  <c r="E6" i="6" s="1"/>
  <c r="J9" i="1"/>
  <c r="M9" i="1"/>
  <c r="J10" i="1"/>
  <c r="M10" i="1"/>
  <c r="M11" i="1"/>
  <c r="J13" i="1"/>
  <c r="J14" i="1"/>
  <c r="J15" i="1"/>
  <c r="M8" i="1"/>
  <c r="L8" i="1"/>
  <c r="J8" i="1"/>
  <c r="G3" i="5"/>
  <c r="G2" i="5"/>
  <c r="I9" i="3"/>
  <c r="C3" i="4"/>
  <c r="C2" i="4"/>
  <c r="H3" i="3"/>
  <c r="H4" i="3"/>
  <c r="H5" i="3"/>
  <c r="H6" i="3"/>
  <c r="H7" i="3"/>
  <c r="H8" i="3"/>
  <c r="H2" i="3"/>
  <c r="I8" i="3"/>
  <c r="I7" i="3"/>
  <c r="I6" i="3"/>
  <c r="I5" i="3"/>
  <c r="I4" i="3"/>
  <c r="I3" i="3"/>
  <c r="I2" i="3"/>
  <c r="D3" i="2"/>
  <c r="D4" i="2"/>
  <c r="D5" i="2"/>
  <c r="D6" i="2"/>
  <c r="D2" i="2"/>
  <c r="C7" i="6"/>
  <c r="U8" i="1"/>
  <c r="I8" i="6"/>
  <c r="F8" i="6"/>
  <c r="I10" i="6"/>
  <c r="G14" i="6"/>
  <c r="J14" i="6" s="1"/>
  <c r="E8" i="6" l="1"/>
  <c r="C10" i="6"/>
  <c r="N8" i="6"/>
  <c r="Q8" i="6" s="1"/>
  <c r="B10" i="6"/>
  <c r="L10" i="6" s="1"/>
  <c r="F10" i="6"/>
  <c r="C15" i="6"/>
  <c r="I9" i="6"/>
  <c r="E9" i="6"/>
  <c r="N39" i="1"/>
  <c r="O39" i="1" s="1"/>
  <c r="P39" i="1" s="1"/>
  <c r="Q39" i="1" s="1"/>
  <c r="N38" i="1"/>
  <c r="O38" i="1" s="1"/>
  <c r="P38" i="1" s="1"/>
  <c r="Q38" i="1" s="1"/>
  <c r="U40" i="1"/>
  <c r="P40" i="1"/>
  <c r="Q40" i="1" s="1"/>
  <c r="D16" i="6"/>
  <c r="I16" i="6"/>
  <c r="B13" i="6"/>
  <c r="L13" i="6" s="1"/>
  <c r="B11" i="6"/>
  <c r="L11" i="6" s="1"/>
  <c r="F12" i="6"/>
  <c r="D15" i="6"/>
  <c r="F7" i="6"/>
  <c r="F9" i="6"/>
  <c r="N15" i="6"/>
  <c r="Q15" i="6" s="1"/>
  <c r="M15" i="6"/>
  <c r="O15" i="6" s="1"/>
  <c r="N7" i="6"/>
  <c r="R7" i="6" s="1"/>
  <c r="I15" i="6"/>
  <c r="E15" i="6"/>
  <c r="G11" i="6"/>
  <c r="J11" i="6" s="1"/>
  <c r="B9" i="6"/>
  <c r="L9" i="6" s="1"/>
  <c r="C8" i="6"/>
  <c r="B16" i="6"/>
  <c r="L16" i="6" s="1"/>
  <c r="M7" i="6"/>
  <c r="O7" i="6" s="1"/>
  <c r="J30" i="1"/>
  <c r="G6" i="6" s="1"/>
  <c r="M16" i="6"/>
  <c r="O16" i="6" s="1"/>
  <c r="N37" i="1"/>
  <c r="O37" i="1" s="1"/>
  <c r="P37" i="1" s="1"/>
  <c r="Q37" i="1" s="1"/>
  <c r="B15" i="6"/>
  <c r="L15" i="6" s="1"/>
  <c r="D8" i="6"/>
  <c r="D7" i="6"/>
  <c r="G16" i="6"/>
  <c r="J16" i="6" s="1"/>
  <c r="H8" i="6"/>
  <c r="K8" i="6"/>
  <c r="N34" i="1"/>
  <c r="O34" i="1" s="1"/>
  <c r="P34" i="1" s="1"/>
  <c r="Q34" i="1" s="1"/>
  <c r="N35" i="1"/>
  <c r="O35" i="1" s="1"/>
  <c r="P35" i="1" s="1"/>
  <c r="Q35" i="1" s="1"/>
  <c r="G15" i="6"/>
  <c r="J15" i="6" s="1"/>
  <c r="F16" i="6"/>
  <c r="K16" i="6"/>
  <c r="K15" i="6"/>
  <c r="G9" i="6"/>
  <c r="J9" i="6" s="1"/>
  <c r="B8" i="6"/>
  <c r="L8" i="6" s="1"/>
  <c r="I7" i="6"/>
  <c r="F15" i="6"/>
  <c r="E11" i="6"/>
  <c r="C9" i="6"/>
  <c r="G8" i="6"/>
  <c r="J8" i="6" s="1"/>
  <c r="H9" i="6"/>
  <c r="N41" i="1"/>
  <c r="O41" i="1" s="1"/>
  <c r="U41" i="1" s="1"/>
  <c r="D10" i="6"/>
  <c r="D11" i="6"/>
  <c r="E10" i="6"/>
  <c r="C11" i="6"/>
  <c r="I11" i="6"/>
  <c r="F11" i="6"/>
  <c r="G10" i="6"/>
  <c r="J10" i="6" s="1"/>
  <c r="N36" i="1"/>
  <c r="O36" i="1" s="1"/>
  <c r="P36" i="1" s="1"/>
  <c r="Q36" i="1" s="1"/>
  <c r="N33" i="1"/>
  <c r="O33" i="1" s="1"/>
  <c r="P33" i="1" s="1"/>
  <c r="Q33" i="1" s="1"/>
  <c r="C17" i="6"/>
  <c r="C16" i="6"/>
  <c r="N11" i="6"/>
  <c r="Q11" i="6" s="1"/>
  <c r="N8" i="1"/>
  <c r="O8" i="1" s="1"/>
  <c r="P8" i="1" s="1"/>
  <c r="Q8" i="1" s="1"/>
  <c r="N10" i="1"/>
  <c r="O10" i="1" s="1"/>
  <c r="P10" i="1" s="1"/>
  <c r="Q10" i="1" s="1"/>
  <c r="N27" i="1"/>
  <c r="O27" i="1" s="1"/>
  <c r="U27" i="1" s="1"/>
  <c r="I6" i="6"/>
  <c r="K18" i="6"/>
  <c r="D14" i="6"/>
  <c r="F14" i="6"/>
  <c r="B14" i="6"/>
  <c r="L14" i="6" s="1"/>
  <c r="I14" i="6"/>
  <c r="C14" i="6"/>
  <c r="N14" i="6"/>
  <c r="Q14" i="6" s="1"/>
  <c r="E14" i="6"/>
  <c r="E12" i="6"/>
  <c r="D9" i="6"/>
  <c r="K9" i="6"/>
  <c r="H10" i="6"/>
  <c r="N23" i="1"/>
  <c r="O23" i="1" s="1"/>
  <c r="U23" i="1" s="1"/>
  <c r="N26" i="1"/>
  <c r="O26" i="1" s="1"/>
  <c r="U26" i="1" s="1"/>
  <c r="K7" i="6"/>
  <c r="N20" i="1"/>
  <c r="O20" i="1" s="1"/>
  <c r="P20" i="1" s="1"/>
  <c r="Q20" i="1" s="1"/>
  <c r="M11" i="6"/>
  <c r="P11" i="6" s="1"/>
  <c r="N13" i="1"/>
  <c r="O13" i="1" s="1"/>
  <c r="P13" i="1" s="1"/>
  <c r="Q13" i="1" s="1"/>
  <c r="N17" i="1"/>
  <c r="O17" i="1" s="1"/>
  <c r="P17" i="1" s="1"/>
  <c r="Q17" i="1" s="1"/>
  <c r="B12" i="6"/>
  <c r="L12" i="6" s="1"/>
  <c r="N17" i="6"/>
  <c r="R17" i="6" s="1"/>
  <c r="N16" i="1"/>
  <c r="O16" i="1" s="1"/>
  <c r="P16" i="1" s="1"/>
  <c r="Q16" i="1" s="1"/>
  <c r="N12" i="1"/>
  <c r="O12" i="1" s="1"/>
  <c r="U12" i="1" s="1"/>
  <c r="N21" i="1"/>
  <c r="O21" i="1" s="1"/>
  <c r="U21" i="1" s="1"/>
  <c r="N25" i="1"/>
  <c r="O25" i="1" s="1"/>
  <c r="P25" i="1" s="1"/>
  <c r="Q25" i="1" s="1"/>
  <c r="N18" i="1"/>
  <c r="O18" i="1" s="1"/>
  <c r="P18" i="1" s="1"/>
  <c r="Q18" i="1" s="1"/>
  <c r="N9" i="1"/>
  <c r="O9" i="1" s="1"/>
  <c r="P9" i="1" s="1"/>
  <c r="Q9" i="1" s="1"/>
  <c r="N29" i="1"/>
  <c r="O29" i="1" s="1"/>
  <c r="P29" i="1" s="1"/>
  <c r="Q29" i="1" s="1"/>
  <c r="N15" i="1"/>
  <c r="O15" i="1" s="1"/>
  <c r="P15" i="1" s="1"/>
  <c r="Q15" i="1" s="1"/>
  <c r="N19" i="1"/>
  <c r="O19" i="1" s="1"/>
  <c r="P19" i="1" s="1"/>
  <c r="Q19" i="1" s="1"/>
  <c r="N11" i="1"/>
  <c r="O11" i="1" s="1"/>
  <c r="P11" i="1" s="1"/>
  <c r="Q11" i="1" s="1"/>
  <c r="N24" i="1"/>
  <c r="O24" i="1" s="1"/>
  <c r="P24" i="1" s="1"/>
  <c r="Q24" i="1" s="1"/>
  <c r="N14" i="1"/>
  <c r="O14" i="1" s="1"/>
  <c r="P14" i="1" s="1"/>
  <c r="Q14" i="1" s="1"/>
  <c r="N30" i="1"/>
  <c r="O30" i="1" s="1"/>
  <c r="P30" i="1" s="1"/>
  <c r="Q30" i="1" s="1"/>
  <c r="N22" i="1"/>
  <c r="O22" i="1" s="1"/>
  <c r="U22" i="1" s="1"/>
  <c r="H7" i="6"/>
  <c r="B7" i="6"/>
  <c r="L7" i="6" s="1"/>
  <c r="J28" i="1"/>
  <c r="G7" i="6" s="1"/>
  <c r="H12" i="6"/>
  <c r="C12" i="6"/>
  <c r="M12" i="6"/>
  <c r="P12" i="6" s="1"/>
  <c r="D12" i="6"/>
  <c r="I12" i="6"/>
  <c r="F17" i="6"/>
  <c r="N12" i="6"/>
  <c r="R12" i="6" s="1"/>
  <c r="G12" i="6"/>
  <c r="J12" i="6" s="1"/>
  <c r="N32" i="1"/>
  <c r="O32" i="1" s="1"/>
  <c r="P32" i="1" s="1"/>
  <c r="Q32" i="1" s="1"/>
  <c r="N31" i="1"/>
  <c r="O31" i="1" s="1"/>
  <c r="C6" i="6"/>
  <c r="C19" i="6" s="1"/>
  <c r="D18" i="6"/>
  <c r="K17" i="6"/>
  <c r="C18" i="6"/>
  <c r="B6" i="6"/>
  <c r="L6" i="6" s="1"/>
  <c r="K6" i="6"/>
  <c r="F18" i="6"/>
  <c r="N9" i="6"/>
  <c r="Q9" i="6" s="1"/>
  <c r="C13" i="6"/>
  <c r="D6" i="6"/>
  <c r="B18" i="6"/>
  <c r="L18" i="6" s="1"/>
  <c r="M10" i="6"/>
  <c r="P10" i="6" s="1"/>
  <c r="N18" i="6"/>
  <c r="R18" i="6" s="1"/>
  <c r="M6" i="6"/>
  <c r="F6" i="6"/>
  <c r="E18" i="6"/>
  <c r="I18" i="6"/>
  <c r="N6" i="6"/>
  <c r="R6" i="6" s="1"/>
  <c r="K10" i="6"/>
  <c r="B17" i="6"/>
  <c r="L17" i="6" s="1"/>
  <c r="D17" i="6"/>
  <c r="H17" i="6"/>
  <c r="M17" i="6"/>
  <c r="O17" i="6" s="1"/>
  <c r="I17" i="6"/>
  <c r="G17" i="6"/>
  <c r="J17" i="6" s="1"/>
  <c r="G13" i="6"/>
  <c r="J13" i="6" s="1"/>
  <c r="N13" i="6"/>
  <c r="H13" i="6"/>
  <c r="E13" i="6"/>
  <c r="G18" i="6"/>
  <c r="J18" i="6" s="1"/>
  <c r="M18" i="6"/>
  <c r="O18" i="6" s="1"/>
  <c r="H6" i="6"/>
  <c r="M13" i="6"/>
  <c r="F13" i="6"/>
  <c r="D13" i="6"/>
  <c r="E19" i="6"/>
  <c r="I13" i="6"/>
  <c r="R10" i="6"/>
  <c r="Q10" i="6"/>
  <c r="H16" i="6"/>
  <c r="N16" i="6"/>
  <c r="M14" i="6"/>
  <c r="O14" i="6" s="1"/>
  <c r="K11" i="6"/>
  <c r="K14" i="6"/>
  <c r="R8" i="6"/>
  <c r="O9" i="6"/>
  <c r="O8" i="6"/>
  <c r="Q7" i="6" l="1"/>
  <c r="P15" i="6"/>
  <c r="I19" i="6"/>
  <c r="J7" i="6"/>
  <c r="P26" i="1"/>
  <c r="Q26" i="1" s="1"/>
  <c r="R15" i="6"/>
  <c r="F19" i="6"/>
  <c r="D19" i="6"/>
  <c r="U36" i="1"/>
  <c r="U29" i="1"/>
  <c r="P16" i="6"/>
  <c r="M19" i="6"/>
  <c r="P19" i="6" s="1"/>
  <c r="P7" i="6"/>
  <c r="P41" i="1"/>
  <c r="Q41" i="1" s="1"/>
  <c r="U11" i="1"/>
  <c r="P23" i="1"/>
  <c r="Q23" i="1" s="1"/>
  <c r="H19" i="6"/>
  <c r="R11" i="6"/>
  <c r="N19" i="6"/>
  <c r="Q19" i="6" s="1"/>
  <c r="K19" i="6"/>
  <c r="R14" i="6"/>
  <c r="O12" i="6"/>
  <c r="Q17" i="6"/>
  <c r="O11" i="6"/>
  <c r="U10" i="1"/>
  <c r="P27" i="1"/>
  <c r="Q27" i="1" s="1"/>
  <c r="P22" i="1"/>
  <c r="Q22" i="1" s="1"/>
  <c r="N28" i="1"/>
  <c r="O28" i="1" s="1"/>
  <c r="U28" i="1" s="1"/>
  <c r="U25" i="1"/>
  <c r="P12" i="1"/>
  <c r="Q12" i="1" s="1"/>
  <c r="U30" i="1"/>
  <c r="P21" i="1"/>
  <c r="Q21" i="1" s="1"/>
  <c r="O6" i="6"/>
  <c r="P6" i="6"/>
  <c r="U9" i="1"/>
  <c r="R9" i="6"/>
  <c r="G19" i="6"/>
  <c r="J19" i="6" s="1"/>
  <c r="Q12" i="6"/>
  <c r="Q6" i="6"/>
  <c r="P31" i="1"/>
  <c r="Q31" i="1" s="1"/>
  <c r="U31" i="1"/>
  <c r="B19" i="6"/>
  <c r="L19" i="6"/>
  <c r="O10" i="6"/>
  <c r="J6" i="6"/>
  <c r="Q18" i="6"/>
  <c r="P17" i="6"/>
  <c r="P18" i="6"/>
  <c r="O13" i="6"/>
  <c r="P13" i="6"/>
  <c r="R13" i="6"/>
  <c r="Q13" i="6"/>
  <c r="Q16" i="6"/>
  <c r="R16" i="6"/>
  <c r="P14" i="6"/>
  <c r="O19" i="6" l="1"/>
  <c r="R19" i="6"/>
  <c r="P28" i="1"/>
  <c r="Q28" i="1" s="1"/>
</calcChain>
</file>

<file path=xl/sharedStrings.xml><?xml version="1.0" encoding="utf-8"?>
<sst xmlns="http://schemas.openxmlformats.org/spreadsheetml/2006/main" count="340" uniqueCount="173">
  <si>
    <t>Lançamentos, Custos, Vendas e DRE</t>
  </si>
  <si>
    <t>Data</t>
  </si>
  <si>
    <t>Projeto</t>
  </si>
  <si>
    <t>Consumo</t>
  </si>
  <si>
    <t>Custos</t>
  </si>
  <si>
    <t>Markup</t>
  </si>
  <si>
    <t>Realidade</t>
  </si>
  <si>
    <t>Valor Vendido</t>
  </si>
  <si>
    <t>% de Lucro ou Prejuízo</t>
  </si>
  <si>
    <t>Venda</t>
  </si>
  <si>
    <t>Impressora</t>
  </si>
  <si>
    <t>Filamento</t>
  </si>
  <si>
    <t>Filamento (g)</t>
  </si>
  <si>
    <t>Tempo</t>
  </si>
  <si>
    <t>Trabalho</t>
  </si>
  <si>
    <t>Insumos</t>
  </si>
  <si>
    <t>Embalagem</t>
  </si>
  <si>
    <t>Eletricidade</t>
  </si>
  <si>
    <t>Depreciação</t>
  </si>
  <si>
    <t>Subtotal</t>
  </si>
  <si>
    <t>Valor Final</t>
  </si>
  <si>
    <t>Valor Sugerido</t>
  </si>
  <si>
    <t>Marketplace</t>
  </si>
  <si>
    <t>Valor ECC</t>
  </si>
  <si>
    <t>Valor Mín.</t>
  </si>
  <si>
    <t>Porta Velas</t>
  </si>
  <si>
    <t>A1 Combo</t>
  </si>
  <si>
    <t>National3D PLA High Speed</t>
  </si>
  <si>
    <t>Leonardo</t>
  </si>
  <si>
    <t>Fabiano Base</t>
  </si>
  <si>
    <t>Fabiano Boneco</t>
  </si>
  <si>
    <t>Cristiane Mengue</t>
  </si>
  <si>
    <t>Tom Formatura</t>
  </si>
  <si>
    <t>Incenso Pescador</t>
  </si>
  <si>
    <t>V. Feliz Suculentas</t>
  </si>
  <si>
    <t>Raquete Chaveiro</t>
  </si>
  <si>
    <t>V Felicia Espiral</t>
  </si>
  <si>
    <t>Coelho 5x 5cm</t>
  </si>
  <si>
    <t>Raquel Shitzu</t>
  </si>
  <si>
    <t>Masterprint PETG Basic</t>
  </si>
  <si>
    <t>Vaso Voronoi 20cm</t>
  </si>
  <si>
    <t>Fabiano Vaso c Pés</t>
  </si>
  <si>
    <t>Claro S. Base</t>
  </si>
  <si>
    <t>Claro S. Boneco</t>
  </si>
  <si>
    <t>Daniel Spectreman</t>
  </si>
  <si>
    <t>Felipe Esculura</t>
  </si>
  <si>
    <t>Felipe Portal Vela</t>
  </si>
  <si>
    <t>Felipe Recip. P. Vela</t>
  </si>
  <si>
    <t>Bach Ch. Glock</t>
  </si>
  <si>
    <t>Olguins Ch. Glock</t>
  </si>
  <si>
    <t>Bach. Munição</t>
  </si>
  <si>
    <t>Daniel Soldadinhos</t>
  </si>
  <si>
    <t>Thais Velasques 01</t>
  </si>
  <si>
    <t>Thais Velasques 50</t>
  </si>
  <si>
    <t>Thais Velasques 100</t>
  </si>
  <si>
    <t>Thais Velasques 130</t>
  </si>
  <si>
    <t>Thais 2 Cores 01</t>
  </si>
  <si>
    <t>Bambu Lite</t>
  </si>
  <si>
    <t>Thais 2 Cores 50</t>
  </si>
  <si>
    <t>Thais 2 Cores 100</t>
  </si>
  <si>
    <t>Thais 2 Cores 130</t>
  </si>
  <si>
    <t>Olguins Escultura</t>
  </si>
  <si>
    <t>Tipo</t>
  </si>
  <si>
    <t>Valor</t>
  </si>
  <si>
    <t>Quantidade</t>
  </si>
  <si>
    <t>Unitário</t>
  </si>
  <si>
    <t>Almofada Colmeia </t>
  </si>
  <si>
    <t>Grande</t>
  </si>
  <si>
    <t>Caixa Grande</t>
  </si>
  <si>
    <t>Pequena</t>
  </si>
  <si>
    <t>Caixa Pequena</t>
  </si>
  <si>
    <t>Fita gomada</t>
  </si>
  <si>
    <t>Etiqueta</t>
  </si>
  <si>
    <t>Caixa Fone</t>
  </si>
  <si>
    <t>Argola Chaveiro</t>
  </si>
  <si>
    <t>Kit LED Bambu Lab</t>
  </si>
  <si>
    <t>Embalagem Grande</t>
  </si>
  <si>
    <t>Material</t>
  </si>
  <si>
    <t>Total</t>
  </si>
  <si>
    <t>Embalagem Pequena</t>
  </si>
  <si>
    <t>Fabricante</t>
  </si>
  <si>
    <t>Preço [R$]</t>
  </si>
  <si>
    <t>Tempo Depreciação (h)</t>
  </si>
  <si>
    <t>Custo Manutenção (R$)</t>
  </si>
  <si>
    <t>Consumo Médio de Energia (kWh/h)</t>
  </si>
  <si>
    <t>Depreciação [R$/h]</t>
  </si>
  <si>
    <t>Bambu Lab</t>
  </si>
  <si>
    <t>H2D</t>
  </si>
  <si>
    <t>Custo de Energia</t>
  </si>
  <si>
    <t>Custo de Trabalho</t>
  </si>
  <si>
    <t>Taxa de falha</t>
  </si>
  <si>
    <t>%</t>
  </si>
  <si>
    <t>Unidade monetária</t>
  </si>
  <si>
    <t>R$</t>
  </si>
  <si>
    <t>Taxa marketplace</t>
  </si>
  <si>
    <t>Imposto</t>
  </si>
  <si>
    <t>Taxa fixa</t>
  </si>
  <si>
    <t>Diâmetro (mm)</t>
  </si>
  <si>
    <t>Preço do Carretel (R$)</t>
  </si>
  <si>
    <t>Peso do Carretel (kg)</t>
  </si>
  <si>
    <t>Densidade (g/cm³)</t>
  </si>
  <si>
    <t>Temperatura do bico (°C)</t>
  </si>
  <si>
    <t>Temp. da Mesa (°C)</t>
  </si>
  <si>
    <t>Comprimento por rolo (m)</t>
  </si>
  <si>
    <t>Valor (R$/kg)</t>
  </si>
  <si>
    <t>Voolt3D PLA</t>
  </si>
  <si>
    <t>Mais Barato</t>
  </si>
  <si>
    <t>Outro</t>
  </si>
  <si>
    <t>Valor Médio</t>
  </si>
  <si>
    <t>3nmax</t>
  </si>
  <si>
    <t>Mais Caro</t>
  </si>
  <si>
    <t>Polyterra</t>
  </si>
  <si>
    <t>eSUN Matte</t>
  </si>
  <si>
    <t>Bambu TPU AMS</t>
  </si>
  <si>
    <t>DRE - Demonstrativo de Resultados do Exercício</t>
  </si>
  <si>
    <t>Mês / Ano</t>
  </si>
  <si>
    <t>Filamento (kg)</t>
  </si>
  <si>
    <t>Tempo Impressão</t>
  </si>
  <si>
    <t>Tempo Trabalho</t>
  </si>
  <si>
    <t>Embalagens</t>
  </si>
  <si>
    <t>Custo Total</t>
  </si>
  <si>
    <t>Energia Elétrica</t>
  </si>
  <si>
    <t>Vendas</t>
  </si>
  <si>
    <t>% Lucro ou Prejuízo</t>
  </si>
  <si>
    <t>Horas A1 Combo</t>
  </si>
  <si>
    <t>Horas H2D</t>
  </si>
  <si>
    <t>% Vida Consumida A1</t>
  </si>
  <si>
    <t>% Vida Restante A1</t>
  </si>
  <si>
    <t>% Vida Consumida H2D</t>
  </si>
  <si>
    <t>% Vida Restante H2D</t>
  </si>
  <si>
    <t>SubTotal</t>
  </si>
  <si>
    <t>Código</t>
  </si>
  <si>
    <t>Produto</t>
  </si>
  <si>
    <t>Tamanho</t>
  </si>
  <si>
    <t>Peso</t>
  </si>
  <si>
    <t>Cód. Filamento</t>
  </si>
  <si>
    <t>Cor</t>
  </si>
  <si>
    <t>Pintado?</t>
  </si>
  <si>
    <t>Perda Padrão (g)</t>
  </si>
  <si>
    <t>Chaveiro Glock 17</t>
  </si>
  <si>
    <t>5 x 7cm</t>
  </si>
  <si>
    <t>Azul</t>
  </si>
  <si>
    <t>Não</t>
  </si>
  <si>
    <t>Filamentos</t>
  </si>
  <si>
    <t>Preto</t>
  </si>
  <si>
    <t>Branco</t>
  </si>
  <si>
    <t>Marca</t>
  </si>
  <si>
    <t>Peso(g)</t>
  </si>
  <si>
    <t>Rosa</t>
  </si>
  <si>
    <t>Sim</t>
  </si>
  <si>
    <t>PLA</t>
  </si>
  <si>
    <t>Cinza</t>
  </si>
  <si>
    <t>Verde</t>
  </si>
  <si>
    <t>Silk+</t>
  </si>
  <si>
    <t>Bege</t>
  </si>
  <si>
    <t>Dourado</t>
  </si>
  <si>
    <t>Vermelho</t>
  </si>
  <si>
    <t>PETG</t>
  </si>
  <si>
    <t>Chaveiro Glock 17 Pack 10</t>
  </si>
  <si>
    <t>MasterPrint</t>
  </si>
  <si>
    <t>Quadro Nªs. Srª. Divina Previdência</t>
  </si>
  <si>
    <t>24cm</t>
  </si>
  <si>
    <t>National 3D</t>
  </si>
  <si>
    <t>PLA High Speed</t>
  </si>
  <si>
    <t>Base Boneco CAC - Claro Soares</t>
  </si>
  <si>
    <t>12 x 12cm</t>
  </si>
  <si>
    <t>Boneco CAC - Claro Soares</t>
  </si>
  <si>
    <t>20cm</t>
  </si>
  <si>
    <t>B</t>
  </si>
  <si>
    <t>Vaso Espiral Felicia</t>
  </si>
  <si>
    <t>25cm</t>
  </si>
  <si>
    <t>Marrom</t>
  </si>
  <si>
    <t>Colocar coluna para Qtde. em Produtos e também calcular qual o valor de cada peça, de acordo com a qtde; então o % de lucro no pedido é sobre o valor da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</si>
</sst>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mm/yyyy"/>
    <numFmt numFmtId="166" formatCode="0.000"/>
    <numFmt numFmtId="167" formatCode="d&quot;d &quot;hh&quot;h &quot;mm&quot;min &quot;ss&quot;s&quot;\ "/>
    <numFmt numFmtId="168" formatCode="[hh]:mm"/>
    <numFmt numFmtId="169" formatCode="000"/>
    <numFmt numFmtId="170" formatCode="0000"/>
    <numFmt numFmtId="171" formatCode="[hh]:mm:ss;@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  <font>
      <sz val="24"/>
      <color theme="4"/>
      <name val="Poppins Bold"/>
    </font>
    <font>
      <b/>
      <sz val="12"/>
      <color rgb="FFFF0000"/>
      <name val="Aptos Narrow"/>
      <scheme val="minor"/>
    </font>
    <font>
      <sz val="22"/>
      <color theme="4"/>
      <name val="Poppins Bold"/>
    </font>
    <font>
      <b/>
      <sz val="11"/>
      <color theme="0"/>
      <name val="Calibri"/>
      <family val="2"/>
    </font>
    <font>
      <sz val="12"/>
      <color rgb="FFFF0000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thin">
        <color theme="0"/>
      </right>
      <top style="medium">
        <color auto="1"/>
      </top>
      <bottom/>
      <diagonal/>
    </border>
    <border>
      <left style="thin">
        <color theme="0"/>
      </left>
      <right/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0"/>
      </right>
      <top/>
      <bottom/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3" fillId="0" borderId="0" xfId="0" applyFont="1"/>
    <xf numFmtId="0" fontId="5" fillId="0" borderId="0" xfId="0" applyFont="1"/>
    <xf numFmtId="44" fontId="5" fillId="0" borderId="0" xfId="1" applyFont="1"/>
    <xf numFmtId="8" fontId="5" fillId="0" borderId="0" xfId="0" applyNumberFormat="1" applyFont="1"/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44" fontId="5" fillId="4" borderId="0" xfId="1" applyFont="1" applyFill="1"/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44" fontId="4" fillId="3" borderId="0" xfId="1" applyFont="1" applyFill="1"/>
    <xf numFmtId="8" fontId="4" fillId="3" borderId="0" xfId="0" applyNumberFormat="1" applyFont="1" applyFill="1"/>
    <xf numFmtId="8" fontId="5" fillId="4" borderId="0" xfId="0" applyNumberFormat="1" applyFont="1" applyFill="1"/>
    <xf numFmtId="8" fontId="5" fillId="0" borderId="0" xfId="0" applyNumberFormat="1" applyFont="1" applyAlignment="1">
      <alignment horizontal="right" vertical="center"/>
    </xf>
    <xf numFmtId="44" fontId="5" fillId="0" borderId="0" xfId="1" applyFont="1" applyAlignment="1">
      <alignment horizontal="right" vertical="center"/>
    </xf>
    <xf numFmtId="8" fontId="5" fillId="4" borderId="0" xfId="0" applyNumberFormat="1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3" fontId="5" fillId="0" borderId="0" xfId="0" applyNumberFormat="1" applyFont="1"/>
    <xf numFmtId="3" fontId="0" fillId="0" borderId="0" xfId="0" applyNumberFormat="1"/>
    <xf numFmtId="0" fontId="6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44" fontId="5" fillId="4" borderId="0" xfId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2" fontId="5" fillId="5" borderId="0" xfId="1" applyNumberFormat="1" applyFont="1" applyFill="1" applyAlignment="1">
      <alignment horizontal="right" vertical="center"/>
    </xf>
    <xf numFmtId="0" fontId="8" fillId="9" borderId="4" xfId="0" applyFont="1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2" fontId="3" fillId="13" borderId="24" xfId="0" applyNumberFormat="1" applyFont="1" applyFill="1" applyBorder="1" applyAlignment="1">
      <alignment horizontal="center" vertical="center"/>
    </xf>
    <xf numFmtId="20" fontId="3" fillId="13" borderId="24" xfId="0" applyNumberFormat="1" applyFont="1" applyFill="1" applyBorder="1" applyAlignment="1">
      <alignment horizontal="center" vertical="center"/>
    </xf>
    <xf numFmtId="164" fontId="0" fillId="13" borderId="24" xfId="0" applyNumberFormat="1" applyFill="1" applyBorder="1" applyAlignment="1">
      <alignment horizontal="center" vertical="center"/>
    </xf>
    <xf numFmtId="10" fontId="0" fillId="13" borderId="26" xfId="0" applyNumberFormat="1" applyFill="1" applyBorder="1"/>
    <xf numFmtId="0" fontId="10" fillId="2" borderId="9" xfId="0" applyFont="1" applyFill="1" applyBorder="1" applyAlignment="1">
      <alignment horizontal="center" vertical="center"/>
    </xf>
    <xf numFmtId="9" fontId="10" fillId="2" borderId="5" xfId="0" applyNumberFormat="1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2" fontId="3" fillId="13" borderId="2" xfId="0" applyNumberFormat="1" applyFont="1" applyFill="1" applyBorder="1" applyAlignment="1">
      <alignment horizontal="center" vertical="center"/>
    </xf>
    <xf numFmtId="20" fontId="3" fillId="13" borderId="2" xfId="0" applyNumberFormat="1" applyFont="1" applyFill="1" applyBorder="1" applyAlignment="1">
      <alignment horizontal="center" vertical="center"/>
    </xf>
    <xf numFmtId="164" fontId="0" fillId="13" borderId="2" xfId="0" applyNumberFormat="1" applyFill="1" applyBorder="1" applyAlignment="1">
      <alignment horizontal="center" vertical="center"/>
    </xf>
    <xf numFmtId="14" fontId="0" fillId="13" borderId="23" xfId="0" applyNumberFormat="1" applyFill="1" applyBorder="1" applyAlignment="1">
      <alignment horizontal="center" vertical="center"/>
    </xf>
    <xf numFmtId="14" fontId="0" fillId="13" borderId="25" xfId="0" applyNumberFormat="1" applyFill="1" applyBorder="1" applyAlignment="1">
      <alignment horizontal="center" vertical="center"/>
    </xf>
    <xf numFmtId="8" fontId="3" fillId="13" borderId="24" xfId="0" applyNumberFormat="1" applyFont="1" applyFill="1" applyBorder="1" applyAlignment="1">
      <alignment horizontal="right" vertical="center"/>
    </xf>
    <xf numFmtId="8" fontId="3" fillId="13" borderId="2" xfId="0" applyNumberFormat="1" applyFont="1" applyFill="1" applyBorder="1" applyAlignment="1">
      <alignment horizontal="right" vertical="center"/>
    </xf>
    <xf numFmtId="8" fontId="3" fillId="13" borderId="1" xfId="0" applyNumberFormat="1" applyFont="1" applyFill="1" applyBorder="1" applyAlignment="1">
      <alignment horizontal="right" vertical="center"/>
    </xf>
    <xf numFmtId="0" fontId="8" fillId="7" borderId="34" xfId="0" applyFont="1" applyFill="1" applyBorder="1" applyAlignment="1">
      <alignment horizontal="center" vertical="center"/>
    </xf>
    <xf numFmtId="0" fontId="8" fillId="12" borderId="34" xfId="0" applyFont="1" applyFill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/>
    </xf>
    <xf numFmtId="0" fontId="8" fillId="9" borderId="36" xfId="0" applyFont="1" applyFill="1" applyBorder="1" applyAlignment="1">
      <alignment horizontal="center" vertical="center"/>
    </xf>
    <xf numFmtId="165" fontId="0" fillId="4" borderId="15" xfId="0" applyNumberFormat="1" applyFill="1" applyBorder="1" applyAlignment="1">
      <alignment horizontal="center" vertical="center"/>
    </xf>
    <xf numFmtId="166" fontId="0" fillId="4" borderId="16" xfId="0" applyNumberFormat="1" applyFill="1" applyBorder="1" applyAlignment="1">
      <alignment horizontal="center" vertical="center"/>
    </xf>
    <xf numFmtId="167" fontId="0" fillId="4" borderId="16" xfId="0" applyNumberFormat="1" applyFill="1" applyBorder="1" applyAlignment="1">
      <alignment horizontal="center" vertical="center"/>
    </xf>
    <xf numFmtId="44" fontId="0" fillId="4" borderId="16" xfId="1" applyFont="1" applyFill="1" applyBorder="1" applyAlignment="1">
      <alignment horizontal="right" vertical="center"/>
    </xf>
    <xf numFmtId="9" fontId="0" fillId="4" borderId="16" xfId="2" applyFont="1" applyFill="1" applyBorder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44" fontId="0" fillId="4" borderId="0" xfId="1" applyFont="1" applyFill="1" applyBorder="1" applyAlignment="1">
      <alignment horizontal="right" vertical="center"/>
    </xf>
    <xf numFmtId="9" fontId="0" fillId="4" borderId="0" xfId="2" applyFont="1" applyFill="1" applyBorder="1" applyAlignment="1">
      <alignment horizontal="center" vertical="center"/>
    </xf>
    <xf numFmtId="0" fontId="2" fillId="9" borderId="35" xfId="0" applyFont="1" applyFill="1" applyBorder="1"/>
    <xf numFmtId="166" fontId="2" fillId="9" borderId="36" xfId="0" applyNumberFormat="1" applyFont="1" applyFill="1" applyBorder="1" applyAlignment="1">
      <alignment horizontal="center" vertical="center"/>
    </xf>
    <xf numFmtId="167" fontId="2" fillId="9" borderId="36" xfId="0" applyNumberFormat="1" applyFont="1" applyFill="1" applyBorder="1" applyAlignment="1">
      <alignment horizontal="center" vertical="center"/>
    </xf>
    <xf numFmtId="44" fontId="2" fillId="9" borderId="36" xfId="1" applyFont="1" applyFill="1" applyBorder="1" applyAlignment="1">
      <alignment horizontal="right" vertical="center"/>
    </xf>
    <xf numFmtId="9" fontId="2" fillId="9" borderId="36" xfId="2" applyFont="1" applyFill="1" applyBorder="1" applyAlignment="1">
      <alignment horizontal="center" vertical="center"/>
    </xf>
    <xf numFmtId="4" fontId="0" fillId="4" borderId="16" xfId="1" applyNumberFormat="1" applyFont="1" applyFill="1" applyBorder="1" applyAlignment="1">
      <alignment horizontal="center" vertical="center"/>
    </xf>
    <xf numFmtId="4" fontId="0" fillId="4" borderId="0" xfId="1" applyNumberFormat="1" applyFont="1" applyFill="1" applyBorder="1" applyAlignment="1">
      <alignment horizontal="center" vertical="center"/>
    </xf>
    <xf numFmtId="4" fontId="2" fillId="9" borderId="36" xfId="1" applyNumberFormat="1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 wrapText="1"/>
    </xf>
    <xf numFmtId="0" fontId="8" fillId="9" borderId="38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8" fillId="9" borderId="39" xfId="0" applyFont="1" applyFill="1" applyBorder="1" applyAlignment="1">
      <alignment horizontal="center" vertical="center" wrapText="1"/>
    </xf>
    <xf numFmtId="10" fontId="0" fillId="4" borderId="0" xfId="2" applyNumberFormat="1" applyFont="1" applyFill="1" applyBorder="1" applyAlignment="1">
      <alignment horizontal="center" vertical="center"/>
    </xf>
    <xf numFmtId="10" fontId="0" fillId="4" borderId="42" xfId="2" applyNumberFormat="1" applyFont="1" applyFill="1" applyBorder="1" applyAlignment="1">
      <alignment horizontal="center" vertical="center"/>
    </xf>
    <xf numFmtId="10" fontId="0" fillId="4" borderId="44" xfId="2" applyNumberFormat="1" applyFont="1" applyFill="1" applyBorder="1" applyAlignment="1">
      <alignment horizontal="center" vertical="center"/>
    </xf>
    <xf numFmtId="10" fontId="2" fillId="9" borderId="38" xfId="2" applyNumberFormat="1" applyFont="1" applyFill="1" applyBorder="1" applyAlignment="1">
      <alignment horizontal="center" vertical="center"/>
    </xf>
    <xf numFmtId="10" fontId="2" fillId="9" borderId="37" xfId="2" applyNumberFormat="1" applyFont="1" applyFill="1" applyBorder="1" applyAlignment="1">
      <alignment horizontal="center" vertical="center"/>
    </xf>
    <xf numFmtId="10" fontId="0" fillId="15" borderId="0" xfId="2" applyNumberFormat="1" applyFont="1" applyFill="1" applyBorder="1" applyAlignment="1">
      <alignment horizontal="center" vertical="center"/>
    </xf>
    <xf numFmtId="10" fontId="0" fillId="15" borderId="44" xfId="2" applyNumberFormat="1" applyFont="1" applyFill="1" applyBorder="1" applyAlignment="1">
      <alignment horizontal="center" vertical="center"/>
    </xf>
    <xf numFmtId="8" fontId="12" fillId="14" borderId="1" xfId="0" applyNumberFormat="1" applyFont="1" applyFill="1" applyBorder="1" applyAlignment="1">
      <alignment horizontal="center" vertical="center"/>
    </xf>
    <xf numFmtId="8" fontId="12" fillId="14" borderId="2" xfId="0" applyNumberFormat="1" applyFont="1" applyFill="1" applyBorder="1" applyAlignment="1">
      <alignment horizontal="center" vertical="center"/>
    </xf>
    <xf numFmtId="8" fontId="12" fillId="16" borderId="1" xfId="0" applyNumberFormat="1" applyFont="1" applyFill="1" applyBorder="1" applyAlignment="1">
      <alignment horizontal="center" vertical="center"/>
    </xf>
    <xf numFmtId="8" fontId="12" fillId="16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8" fontId="0" fillId="0" borderId="0" xfId="0" applyNumberFormat="1"/>
    <xf numFmtId="44" fontId="0" fillId="15" borderId="0" xfId="1" applyFont="1" applyFill="1" applyBorder="1" applyAlignment="1">
      <alignment horizontal="right" vertical="center"/>
    </xf>
    <xf numFmtId="9" fontId="0" fillId="15" borderId="0" xfId="2" applyFont="1" applyFill="1" applyBorder="1" applyAlignment="1">
      <alignment horizontal="center" vertical="center"/>
    </xf>
    <xf numFmtId="4" fontId="0" fillId="15" borderId="0" xfId="1" applyNumberFormat="1" applyFont="1" applyFill="1" applyBorder="1" applyAlignment="1">
      <alignment horizontal="center" vertical="center"/>
    </xf>
    <xf numFmtId="166" fontId="0" fillId="15" borderId="0" xfId="0" applyNumberFormat="1" applyFill="1" applyAlignment="1">
      <alignment horizontal="center" vertical="center"/>
    </xf>
    <xf numFmtId="167" fontId="0" fillId="15" borderId="0" xfId="0" applyNumberFormat="1" applyFill="1" applyAlignment="1">
      <alignment horizontal="center" vertical="center"/>
    </xf>
    <xf numFmtId="166" fontId="0" fillId="13" borderId="0" xfId="0" applyNumberFormat="1" applyFill="1" applyAlignment="1">
      <alignment horizontal="center" vertical="center"/>
    </xf>
    <xf numFmtId="167" fontId="0" fillId="13" borderId="0" xfId="0" applyNumberFormat="1" applyFill="1" applyAlignment="1">
      <alignment horizontal="center" vertical="center"/>
    </xf>
    <xf numFmtId="44" fontId="0" fillId="13" borderId="0" xfId="1" applyFont="1" applyFill="1" applyBorder="1" applyAlignment="1">
      <alignment horizontal="right" vertical="center"/>
    </xf>
    <xf numFmtId="9" fontId="0" fillId="13" borderId="0" xfId="2" applyFont="1" applyFill="1" applyBorder="1" applyAlignment="1">
      <alignment horizontal="center" vertical="center"/>
    </xf>
    <xf numFmtId="4" fontId="0" fillId="13" borderId="0" xfId="1" applyNumberFormat="1" applyFont="1" applyFill="1" applyBorder="1" applyAlignment="1">
      <alignment horizontal="center" vertical="center"/>
    </xf>
    <xf numFmtId="10" fontId="0" fillId="13" borderId="0" xfId="2" applyNumberFormat="1" applyFont="1" applyFill="1" applyBorder="1" applyAlignment="1">
      <alignment horizontal="center" vertical="center"/>
    </xf>
    <xf numFmtId="165" fontId="0" fillId="15" borderId="14" xfId="0" applyNumberFormat="1" applyFill="1" applyBorder="1" applyAlignment="1">
      <alignment horizontal="center" vertical="center"/>
    </xf>
    <xf numFmtId="165" fontId="0" fillId="13" borderId="14" xfId="0" applyNumberFormat="1" applyFill="1" applyBorder="1" applyAlignment="1">
      <alignment horizontal="center" vertical="center"/>
    </xf>
    <xf numFmtId="165" fontId="0" fillId="4" borderId="17" xfId="0" applyNumberFormat="1" applyFill="1" applyBorder="1" applyAlignment="1">
      <alignment horizontal="center" vertical="center"/>
    </xf>
    <xf numFmtId="10" fontId="0" fillId="13" borderId="44" xfId="2" applyNumberFormat="1" applyFont="1" applyFill="1" applyBorder="1" applyAlignment="1">
      <alignment horizontal="center" vertical="center"/>
    </xf>
    <xf numFmtId="14" fontId="13" fillId="13" borderId="25" xfId="0" applyNumberFormat="1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2" fontId="14" fillId="13" borderId="2" xfId="0" applyNumberFormat="1" applyFont="1" applyFill="1" applyBorder="1" applyAlignment="1">
      <alignment horizontal="center" vertical="center"/>
    </xf>
    <xf numFmtId="20" fontId="14" fillId="13" borderId="2" xfId="0" applyNumberFormat="1" applyFont="1" applyFill="1" applyBorder="1" applyAlignment="1">
      <alignment horizontal="center" vertical="center"/>
    </xf>
    <xf numFmtId="8" fontId="14" fillId="13" borderId="2" xfId="0" applyNumberFormat="1" applyFont="1" applyFill="1" applyBorder="1" applyAlignment="1">
      <alignment horizontal="right" vertical="center"/>
    </xf>
    <xf numFmtId="8" fontId="14" fillId="13" borderId="1" xfId="0" applyNumberFormat="1" applyFont="1" applyFill="1" applyBorder="1" applyAlignment="1">
      <alignment horizontal="right" vertical="center"/>
    </xf>
    <xf numFmtId="8" fontId="15" fillId="14" borderId="2" xfId="0" applyNumberFormat="1" applyFont="1" applyFill="1" applyBorder="1" applyAlignment="1">
      <alignment horizontal="center" vertical="center"/>
    </xf>
    <xf numFmtId="8" fontId="15" fillId="16" borderId="2" xfId="0" applyNumberFormat="1" applyFont="1" applyFill="1" applyBorder="1" applyAlignment="1">
      <alignment horizontal="center" vertical="center"/>
    </xf>
    <xf numFmtId="164" fontId="13" fillId="13" borderId="2" xfId="0" applyNumberFormat="1" applyFont="1" applyFill="1" applyBorder="1" applyAlignment="1">
      <alignment horizontal="center" vertical="center"/>
    </xf>
    <xf numFmtId="10" fontId="13" fillId="13" borderId="26" xfId="0" applyNumberFormat="1" applyFont="1" applyFill="1" applyBorder="1"/>
    <xf numFmtId="20" fontId="0" fillId="0" borderId="0" xfId="0" applyNumberFormat="1"/>
    <xf numFmtId="168" fontId="3" fillId="13" borderId="24" xfId="0" applyNumberFormat="1" applyFont="1" applyFill="1" applyBorder="1" applyAlignment="1">
      <alignment horizontal="center" vertical="center"/>
    </xf>
    <xf numFmtId="168" fontId="3" fillId="13" borderId="2" xfId="0" applyNumberFormat="1" applyFont="1" applyFill="1" applyBorder="1" applyAlignment="1">
      <alignment horizontal="center" vertical="center"/>
    </xf>
    <xf numFmtId="168" fontId="14" fillId="13" borderId="2" xfId="0" applyNumberFormat="1" applyFont="1" applyFill="1" applyBorder="1" applyAlignment="1">
      <alignment horizontal="center" vertical="center"/>
    </xf>
    <xf numFmtId="169" fontId="0" fillId="0" borderId="0" xfId="0" applyNumberFormat="1"/>
    <xf numFmtId="1" fontId="0" fillId="0" borderId="0" xfId="0" applyNumberFormat="1"/>
    <xf numFmtId="170" fontId="0" fillId="0" borderId="0" xfId="0" applyNumberFormat="1"/>
    <xf numFmtId="171" fontId="0" fillId="0" borderId="0" xfId="0" applyNumberFormat="1"/>
    <xf numFmtId="2" fontId="0" fillId="0" borderId="0" xfId="0" applyNumberFormat="1"/>
    <xf numFmtId="14" fontId="0" fillId="13" borderId="46" xfId="0" applyNumberFormat="1" applyFill="1" applyBorder="1" applyAlignment="1">
      <alignment horizontal="center" vertical="center"/>
    </xf>
    <xf numFmtId="0" fontId="0" fillId="13" borderId="47" xfId="0" applyFill="1" applyBorder="1" applyAlignment="1">
      <alignment horizontal="center" vertical="center"/>
    </xf>
    <xf numFmtId="2" fontId="3" fillId="13" borderId="25" xfId="0" applyNumberFormat="1" applyFont="1" applyFill="1" applyBorder="1" applyAlignment="1">
      <alignment horizontal="center" vertical="center"/>
    </xf>
    <xf numFmtId="14" fontId="0" fillId="13" borderId="17" xfId="0" applyNumberFormat="1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48" xfId="0" applyFill="1" applyBorder="1" applyAlignment="1">
      <alignment horizontal="center" vertical="center"/>
    </xf>
    <xf numFmtId="2" fontId="3" fillId="13" borderId="48" xfId="0" applyNumberFormat="1" applyFont="1" applyFill="1" applyBorder="1" applyAlignment="1">
      <alignment horizontal="center" vertical="center"/>
    </xf>
    <xf numFmtId="168" fontId="3" fillId="13" borderId="48" xfId="0" applyNumberFormat="1" applyFont="1" applyFill="1" applyBorder="1" applyAlignment="1">
      <alignment horizontal="center" vertical="center"/>
    </xf>
    <xf numFmtId="20" fontId="3" fillId="13" borderId="48" xfId="0" applyNumberFormat="1" applyFont="1" applyFill="1" applyBorder="1" applyAlignment="1">
      <alignment horizontal="center" vertical="center"/>
    </xf>
    <xf numFmtId="8" fontId="3" fillId="13" borderId="48" xfId="0" applyNumberFormat="1" applyFont="1" applyFill="1" applyBorder="1" applyAlignment="1">
      <alignment horizontal="right" vertical="center"/>
    </xf>
    <xf numFmtId="8" fontId="3" fillId="13" borderId="18" xfId="0" applyNumberFormat="1" applyFont="1" applyFill="1" applyBorder="1" applyAlignment="1">
      <alignment horizontal="right" vertical="center"/>
    </xf>
    <xf numFmtId="8" fontId="12" fillId="14" borderId="48" xfId="0" applyNumberFormat="1" applyFont="1" applyFill="1" applyBorder="1" applyAlignment="1">
      <alignment horizontal="center" vertical="center"/>
    </xf>
    <xf numFmtId="8" fontId="12" fillId="16" borderId="48" xfId="0" applyNumberFormat="1" applyFont="1" applyFill="1" applyBorder="1" applyAlignment="1">
      <alignment horizontal="center" vertical="center"/>
    </xf>
    <xf numFmtId="164" fontId="0" fillId="13" borderId="48" xfId="0" applyNumberFormat="1" applyFill="1" applyBorder="1" applyAlignment="1">
      <alignment horizontal="center" vertical="center"/>
    </xf>
    <xf numFmtId="10" fontId="0" fillId="13" borderId="49" xfId="0" applyNumberFormat="1" applyFill="1" applyBorder="1"/>
    <xf numFmtId="0" fontId="10" fillId="2" borderId="22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8" fillId="11" borderId="29" xfId="0" applyFont="1" applyFill="1" applyBorder="1" applyAlignment="1">
      <alignment horizontal="center" vertical="center"/>
    </xf>
    <xf numFmtId="0" fontId="8" fillId="11" borderId="3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4" borderId="30" xfId="0" applyFont="1" applyFill="1" applyBorder="1" applyAlignment="1">
      <alignment horizontal="center" vertical="center" wrapText="1"/>
    </xf>
    <xf numFmtId="0" fontId="8" fillId="14" borderId="32" xfId="0" applyFont="1" applyFill="1" applyBorder="1" applyAlignment="1">
      <alignment horizontal="center" vertical="center" wrapText="1"/>
    </xf>
    <xf numFmtId="0" fontId="8" fillId="14" borderId="33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/>
    <xf numFmtId="46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334818</xdr:colOff>
      <xdr:row>0</xdr:row>
      <xdr:rowOff>34635</xdr:rowOff>
    </xdr:from>
    <xdr:to>
      <xdr:col>2</xdr:col>
      <xdr:colOff>30269</xdr:colOff>
      <xdr:row>3</xdr:row>
      <xdr:rowOff>179276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657BCF-3C49-3947-B0D1-CB697E2A6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6091" y="34635"/>
          <a:ext cx="930814" cy="768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330008</xdr:colOff>
      <xdr:row>0</xdr:row>
      <xdr:rowOff>34635</xdr:rowOff>
    </xdr:from>
    <xdr:to>
      <xdr:col>1</xdr:col>
      <xdr:colOff>456489</xdr:colOff>
      <xdr:row>3</xdr:row>
      <xdr:rowOff>179276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FF936A-9AAC-B94E-89D6-FDA1FA5BC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008" y="34635"/>
          <a:ext cx="930814" cy="7478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E30F-5E16-1545-A241-5BDF9E26FD25}">
  <dimension ref="A1:V79"/>
  <sheetViews>
    <sheetView tabSelected="1" topLeftCell="A5" zoomScale="90" zoomScaleNormal="90" workbookViewId="0">
      <selection activeCell="A41" sqref="A41:XFD41"/>
    </sheetView>
  </sheetViews>
  <sheetFormatPr baseColWidth="10" defaultColWidth="10.83203125" defaultRowHeight="16"/>
  <cols>
    <col min="1" max="1" width="11.33203125" customWidth="1"/>
    <col min="2" max="2" width="16.1640625" customWidth="1"/>
    <col min="3" max="3" width="14" customWidth="1"/>
    <col min="4" max="4" width="23.33203125" bestFit="1" customWidth="1"/>
    <col min="5" max="5" width="12.1640625" bestFit="1" customWidth="1"/>
    <col min="11" max="11" width="13" bestFit="1" customWidth="1"/>
    <col min="12" max="12" width="11.33203125" bestFit="1" customWidth="1"/>
    <col min="16" max="16" width="12.6640625" bestFit="1" customWidth="1"/>
    <col min="17" max="19" width="12.33203125" customWidth="1"/>
    <col min="21" max="21" width="10.33203125" bestFit="1" customWidth="1"/>
  </cols>
  <sheetData>
    <row r="1" spans="1:21" ht="16" customHeight="1">
      <c r="A1" s="145"/>
      <c r="B1" s="146"/>
      <c r="C1" s="146"/>
      <c r="D1" s="152" t="s">
        <v>0</v>
      </c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3"/>
    </row>
    <row r="2" spans="1:21" ht="16" customHeight="1">
      <c r="A2" s="147"/>
      <c r="B2" s="148"/>
      <c r="C2" s="148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</row>
    <row r="3" spans="1:21" ht="16" customHeight="1">
      <c r="A3" s="147"/>
      <c r="B3" s="148"/>
      <c r="C3" s="148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5"/>
    </row>
    <row r="4" spans="1:21" ht="17" customHeight="1" thickBot="1">
      <c r="A4" s="147"/>
      <c r="B4" s="148"/>
      <c r="C4" s="148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7"/>
    </row>
    <row r="5" spans="1:21">
      <c r="A5" s="143" t="s">
        <v>1</v>
      </c>
      <c r="B5" s="158" t="s">
        <v>2</v>
      </c>
      <c r="C5" s="166" t="s">
        <v>3</v>
      </c>
      <c r="D5" s="167"/>
      <c r="E5" s="167"/>
      <c r="F5" s="167"/>
      <c r="G5" s="167"/>
      <c r="H5" s="167"/>
      <c r="I5" s="168"/>
      <c r="J5" s="160" t="s">
        <v>4</v>
      </c>
      <c r="K5" s="161"/>
      <c r="L5" s="161"/>
      <c r="M5" s="161"/>
      <c r="N5" s="161"/>
      <c r="O5" s="162"/>
      <c r="P5" s="40" t="s">
        <v>5</v>
      </c>
      <c r="Q5" s="41">
        <v>1.5</v>
      </c>
      <c r="R5" s="139" t="s">
        <v>6</v>
      </c>
      <c r="S5" s="140"/>
      <c r="T5" s="173" t="s">
        <v>7</v>
      </c>
      <c r="U5" s="149" t="s">
        <v>8</v>
      </c>
    </row>
    <row r="6" spans="1:21">
      <c r="A6" s="144"/>
      <c r="B6" s="159"/>
      <c r="C6" s="169"/>
      <c r="D6" s="170"/>
      <c r="E6" s="170"/>
      <c r="F6" s="170"/>
      <c r="G6" s="170"/>
      <c r="H6" s="170"/>
      <c r="I6" s="171"/>
      <c r="J6" s="163"/>
      <c r="K6" s="164"/>
      <c r="L6" s="164"/>
      <c r="M6" s="164"/>
      <c r="N6" s="164"/>
      <c r="O6" s="165"/>
      <c r="P6" s="172" t="s">
        <v>9</v>
      </c>
      <c r="Q6" s="172"/>
      <c r="R6" s="141"/>
      <c r="S6" s="142"/>
      <c r="T6" s="174"/>
      <c r="U6" s="150"/>
    </row>
    <row r="7" spans="1:21" ht="17" thickBot="1">
      <c r="A7" s="144"/>
      <c r="B7" s="159"/>
      <c r="C7" s="34" t="s">
        <v>10</v>
      </c>
      <c r="D7" s="34" t="s">
        <v>11</v>
      </c>
      <c r="E7" s="34" t="s">
        <v>12</v>
      </c>
      <c r="F7" s="34" t="s">
        <v>13</v>
      </c>
      <c r="G7" s="34" t="s">
        <v>14</v>
      </c>
      <c r="H7" s="34" t="s">
        <v>15</v>
      </c>
      <c r="I7" s="34" t="s">
        <v>16</v>
      </c>
      <c r="J7" s="51" t="s">
        <v>11</v>
      </c>
      <c r="K7" s="51" t="s">
        <v>17</v>
      </c>
      <c r="L7" s="51" t="s">
        <v>18</v>
      </c>
      <c r="M7" s="51" t="s">
        <v>14</v>
      </c>
      <c r="N7" s="51" t="s">
        <v>19</v>
      </c>
      <c r="O7" s="51" t="s">
        <v>20</v>
      </c>
      <c r="P7" s="52" t="s">
        <v>21</v>
      </c>
      <c r="Q7" s="52" t="s">
        <v>22</v>
      </c>
      <c r="R7" s="52" t="s">
        <v>23</v>
      </c>
      <c r="S7" s="52" t="s">
        <v>24</v>
      </c>
      <c r="T7" s="175"/>
      <c r="U7" s="151"/>
    </row>
    <row r="8" spans="1:21">
      <c r="A8" s="46">
        <v>46056</v>
      </c>
      <c r="B8" s="35" t="s">
        <v>25</v>
      </c>
      <c r="C8" s="35" t="s">
        <v>26</v>
      </c>
      <c r="D8" s="35" t="s">
        <v>27</v>
      </c>
      <c r="E8" s="36">
        <v>174</v>
      </c>
      <c r="F8" s="116">
        <v>0.37152777777777779</v>
      </c>
      <c r="G8" s="37">
        <v>0</v>
      </c>
      <c r="H8" s="48">
        <v>0</v>
      </c>
      <c r="I8" s="48">
        <v>0</v>
      </c>
      <c r="J8" s="50">
        <f>IFERROR(E8/1000*VLOOKUP(D8,Filamentos!A$2:I$96,9,FALSE),"")</f>
        <v>17.399999999999999</v>
      </c>
      <c r="K8" s="50">
        <f>IFERROR(F8*24*VLOOKUP(C8,Impressoras!A$2:G$100,6,FALSE)*Outros!$B$2,"")</f>
        <v>1.15025</v>
      </c>
      <c r="L8" s="50">
        <f>IFERROR(F8*24*VLOOKUP(C8,Impressoras!A$2:G$100,7,FALSE),"")</f>
        <v>5.1500794166666672</v>
      </c>
      <c r="M8" s="50">
        <f>IFERROR(G8*24*Outros!$B$3,"")</f>
        <v>0</v>
      </c>
      <c r="N8" s="50">
        <f>IFERROR(SUM(J8:M8),"")</f>
        <v>23.700329416666666</v>
      </c>
      <c r="O8" s="84">
        <f>IFERROR(N8*(1+Outros!$B$4/100),"")</f>
        <v>26.070362358333334</v>
      </c>
      <c r="P8" s="86">
        <f>IFERROR(O8*Q$5,"")</f>
        <v>39.105543537499997</v>
      </c>
      <c r="Q8" s="50">
        <f>IFERROR(P8/(1-Outros!$B$6-Outros!$B$7)+Outros!$B$8,"")</f>
        <v>52.881929421874993</v>
      </c>
      <c r="R8" s="86">
        <v>60</v>
      </c>
      <c r="S8" s="50">
        <v>40</v>
      </c>
      <c r="T8" s="38"/>
      <c r="U8" s="39" t="str">
        <f>IF(OR(T8="",T8=0),"",(T8-O8)/O8)</f>
        <v/>
      </c>
    </row>
    <row r="9" spans="1:21">
      <c r="A9" s="47">
        <v>46057</v>
      </c>
      <c r="B9" s="42" t="s">
        <v>28</v>
      </c>
      <c r="C9" s="42" t="s">
        <v>26</v>
      </c>
      <c r="D9" s="42" t="s">
        <v>27</v>
      </c>
      <c r="E9" s="43">
        <v>193</v>
      </c>
      <c r="F9" s="117">
        <v>0.29166666666666669</v>
      </c>
      <c r="G9" s="44">
        <v>6.25E-2</v>
      </c>
      <c r="H9" s="49">
        <v>35</v>
      </c>
      <c r="I9" s="49">
        <v>0</v>
      </c>
      <c r="J9" s="49">
        <f>IFERROR(E9/1000*VLOOKUP(D9,Filamentos!A$2:I$96,9,FALSE),"")</f>
        <v>19.3</v>
      </c>
      <c r="K9" s="50">
        <f>IFERROR(F9*24*VLOOKUP(C9,Impressoras!A$2:G$100,6,FALSE)*Outros!$B$2,"")</f>
        <v>0.90300000000000002</v>
      </c>
      <c r="L9" s="50">
        <f>IFERROR(F9*24*VLOOKUP(C9,Impressoras!A$2:G$100,7,FALSE),"")</f>
        <v>4.0430529999999996</v>
      </c>
      <c r="M9" s="49">
        <f>IFERROR(G9*24*Outros!$B$3,"")</f>
        <v>15</v>
      </c>
      <c r="N9" s="49">
        <f t="shared" ref="N9:N31" si="0">IFERROR(SUM(J9:M9),"")</f>
        <v>39.246053000000003</v>
      </c>
      <c r="O9" s="85">
        <f>IFERROR(N9*(1+Outros!$B$4/100),"")</f>
        <v>43.170658300000007</v>
      </c>
      <c r="P9" s="87">
        <f t="shared" ref="P9:P31" si="1">IFERROR(O9*Q$5,"")</f>
        <v>64.755987450000006</v>
      </c>
      <c r="Q9" s="50">
        <f>IFERROR(P9/(1-Outros!$B$6-Outros!$B$7)+Outros!$B$8,"")</f>
        <v>84.944984312499997</v>
      </c>
      <c r="R9" s="87">
        <v>195</v>
      </c>
      <c r="S9" s="49">
        <v>150</v>
      </c>
      <c r="T9" s="45">
        <v>195</v>
      </c>
      <c r="U9" s="39">
        <f t="shared" ref="U9:U31" si="2">IF(OR(T9="",T9=0),"",(T9-O9)/O9)</f>
        <v>3.5169568331553553</v>
      </c>
    </row>
    <row r="10" spans="1:21">
      <c r="A10" s="47">
        <v>46065</v>
      </c>
      <c r="B10" s="42" t="s">
        <v>29</v>
      </c>
      <c r="C10" s="42" t="s">
        <v>26</v>
      </c>
      <c r="D10" s="42" t="s">
        <v>27</v>
      </c>
      <c r="E10" s="43">
        <v>27.05</v>
      </c>
      <c r="F10" s="117">
        <v>7.2916666666666671E-2</v>
      </c>
      <c r="G10" s="44">
        <v>2.0833333333333332E-2</v>
      </c>
      <c r="H10" s="49">
        <v>0</v>
      </c>
      <c r="I10" s="49">
        <v>0</v>
      </c>
      <c r="J10" s="49">
        <f>IFERROR(E10/1000*VLOOKUP(D10,Filamentos!A$2:I$96,9,FALSE),"")</f>
        <v>2.7050000000000001</v>
      </c>
      <c r="K10" s="50">
        <f>IFERROR(F10*24*VLOOKUP(C10,Impressoras!A$2:G$100,6,FALSE)*Outros!$B$2,"")</f>
        <v>0.22575000000000001</v>
      </c>
      <c r="L10" s="50">
        <f>IFERROR(F10*24*VLOOKUP(C10,Impressoras!A$2:G$100,7,FALSE),"")</f>
        <v>1.0107632499999999</v>
      </c>
      <c r="M10" s="49">
        <f>IFERROR(G10*24*Outros!$B$3,"")</f>
        <v>5</v>
      </c>
      <c r="N10" s="49">
        <f t="shared" si="0"/>
        <v>8.9415132499999999</v>
      </c>
      <c r="O10" s="85">
        <f>IFERROR(N10*(1+Outros!$B$4/100),"")</f>
        <v>9.8356645750000009</v>
      </c>
      <c r="P10" s="87">
        <f t="shared" si="1"/>
        <v>14.7534968625</v>
      </c>
      <c r="Q10" s="50">
        <f>IFERROR(P10/(1-Outros!$B$6-Outros!$B$7)+Outros!$B$8,"")</f>
        <v>22.441871078125001</v>
      </c>
      <c r="R10" s="87">
        <v>45</v>
      </c>
      <c r="S10" s="49"/>
      <c r="T10" s="45">
        <v>45</v>
      </c>
      <c r="U10" s="39">
        <f t="shared" si="2"/>
        <v>3.5751865221572987</v>
      </c>
    </row>
    <row r="11" spans="1:21">
      <c r="A11" s="47">
        <v>46065</v>
      </c>
      <c r="B11" s="42" t="s">
        <v>30</v>
      </c>
      <c r="C11" s="42" t="s">
        <v>26</v>
      </c>
      <c r="D11" s="42" t="s">
        <v>27</v>
      </c>
      <c r="E11" s="43">
        <v>80.680000000000007</v>
      </c>
      <c r="F11" s="117">
        <v>0.19444444444444445</v>
      </c>
      <c r="G11" s="44">
        <v>0</v>
      </c>
      <c r="H11" s="49">
        <v>0</v>
      </c>
      <c r="I11" s="49">
        <v>0</v>
      </c>
      <c r="J11" s="49">
        <f>IFERROR(E11/1000*VLOOKUP(D11,Filamentos!A$2:I$96,9,FALSE),"")</f>
        <v>8.0679999999999996</v>
      </c>
      <c r="K11" s="50">
        <f>IFERROR(F11*24*VLOOKUP(C11,Impressoras!A$2:G$100,6,FALSE)*Outros!$B$2,"")</f>
        <v>0.60200000000000009</v>
      </c>
      <c r="L11" s="50">
        <f>IFERROR(F11*24*VLOOKUP(C11,Impressoras!A$2:G$100,7,FALSE),"")</f>
        <v>2.6953686666666665</v>
      </c>
      <c r="M11" s="49">
        <f>IFERROR(G11*24*Outros!$B$3,"")</f>
        <v>0</v>
      </c>
      <c r="N11" s="49">
        <f t="shared" si="0"/>
        <v>11.365368666666667</v>
      </c>
      <c r="O11" s="85">
        <f>IFERROR(N11*(1+Outros!$B$4/100),"")</f>
        <v>12.501905533333334</v>
      </c>
      <c r="P11" s="87">
        <f t="shared" si="1"/>
        <v>18.7528583</v>
      </c>
      <c r="Q11" s="50">
        <f>IFERROR(P11/(1-Outros!$B$6-Outros!$B$7)+Outros!$B$8,"")</f>
        <v>27.441072875</v>
      </c>
      <c r="R11" s="87">
        <v>150</v>
      </c>
      <c r="S11" s="49"/>
      <c r="T11" s="45">
        <v>150</v>
      </c>
      <c r="U11" s="39">
        <f t="shared" si="2"/>
        <v>10.998170966822693</v>
      </c>
    </row>
    <row r="12" spans="1:21">
      <c r="A12" s="47">
        <v>46065</v>
      </c>
      <c r="B12" s="42" t="s">
        <v>31</v>
      </c>
      <c r="C12" s="42" t="s">
        <v>26</v>
      </c>
      <c r="D12" s="42" t="s">
        <v>27</v>
      </c>
      <c r="E12" s="43">
        <v>84.28</v>
      </c>
      <c r="F12" s="117">
        <v>0.19305555555555556</v>
      </c>
      <c r="G12" s="44">
        <v>2.0833333333333332E-2</v>
      </c>
      <c r="H12" s="49">
        <v>0</v>
      </c>
      <c r="I12" s="49">
        <v>0</v>
      </c>
      <c r="J12" s="49">
        <f>IFERROR(E12/1000*VLOOKUP(D12,Filamentos!A$2:I$96,9,FALSE),"")</f>
        <v>8.4280000000000008</v>
      </c>
      <c r="K12" s="50">
        <f>IFERROR(F12*24*VLOOKUP(C12,Impressoras!A$2:G$100,6,FALSE)*Outros!$B$2,"")</f>
        <v>0.59770000000000001</v>
      </c>
      <c r="L12" s="50">
        <f>IFERROR(F12*24*VLOOKUP(C12,Impressoras!A$2:G$100,7,FALSE),"")</f>
        <v>2.6761160333333334</v>
      </c>
      <c r="M12" s="49">
        <f>IFERROR(G12*24*Outros!$B$3,"")</f>
        <v>5</v>
      </c>
      <c r="N12" s="49">
        <f t="shared" si="0"/>
        <v>16.701816033333333</v>
      </c>
      <c r="O12" s="85">
        <f>IFERROR(N12*(1+Outros!$B$4/100),"")</f>
        <v>18.37199763666667</v>
      </c>
      <c r="P12" s="87">
        <f t="shared" si="1"/>
        <v>27.557996455000005</v>
      </c>
      <c r="Q12" s="50">
        <f>IFERROR(P12/(1-Outros!$B$6-Outros!$B$7)+Outros!$B$8,"")</f>
        <v>38.447495568750007</v>
      </c>
      <c r="R12" s="87">
        <v>50</v>
      </c>
      <c r="S12" s="49"/>
      <c r="T12" s="45">
        <v>50</v>
      </c>
      <c r="U12" s="39">
        <f t="shared" si="2"/>
        <v>1.7215331173465014</v>
      </c>
    </row>
    <row r="13" spans="1:21">
      <c r="A13" s="105">
        <v>46062</v>
      </c>
      <c r="B13" s="106" t="s">
        <v>32</v>
      </c>
      <c r="C13" s="106" t="s">
        <v>26</v>
      </c>
      <c r="D13" s="106" t="s">
        <v>27</v>
      </c>
      <c r="E13" s="107">
        <v>864.07</v>
      </c>
      <c r="F13" s="118">
        <v>2.8263888888888888</v>
      </c>
      <c r="G13" s="108">
        <v>2.0833333333333332E-2</v>
      </c>
      <c r="H13" s="109">
        <v>0</v>
      </c>
      <c r="I13" s="109">
        <v>0</v>
      </c>
      <c r="J13" s="109">
        <f>IFERROR(E13/1000*VLOOKUP(D13,Filamentos!A$2:I$96,9,FALSE),"")</f>
        <v>86.406999999999996</v>
      </c>
      <c r="K13" s="110">
        <f>IFERROR(F13*24*VLOOKUP(C13,Impressoras!A$2:G$100,6,FALSE)*Outros!$B$2,"")</f>
        <v>8.7504999999999988</v>
      </c>
      <c r="L13" s="110">
        <f>IFERROR(F13*24*VLOOKUP(C13,Impressoras!A$2:G$100,7,FALSE),"")</f>
        <v>39.179108833333331</v>
      </c>
      <c r="M13" s="109">
        <f>IFERROR(G13*24*Outros!$B$3,"")</f>
        <v>5</v>
      </c>
      <c r="N13" s="109">
        <f t="shared" si="0"/>
        <v>139.33660883333334</v>
      </c>
      <c r="O13" s="111">
        <f>IFERROR(N13*(1+Outros!$B$4/100),"")</f>
        <v>153.27026971666669</v>
      </c>
      <c r="P13" s="112">
        <f t="shared" si="1"/>
        <v>229.90540457500003</v>
      </c>
      <c r="Q13" s="110">
        <f>IFERROR(P13/(1-Outros!$B$6-Outros!$B$7)+Outros!$B$8,"")</f>
        <v>291.38175571875001</v>
      </c>
      <c r="R13" s="112">
        <v>0</v>
      </c>
      <c r="S13" s="109">
        <v>0</v>
      </c>
      <c r="T13" s="113">
        <v>0</v>
      </c>
      <c r="U13" s="114" t="str">
        <f t="shared" si="2"/>
        <v/>
      </c>
    </row>
    <row r="14" spans="1:21">
      <c r="A14" s="47">
        <v>46065</v>
      </c>
      <c r="B14" s="42" t="s">
        <v>33</v>
      </c>
      <c r="C14" s="42" t="s">
        <v>26</v>
      </c>
      <c r="D14" s="42" t="s">
        <v>27</v>
      </c>
      <c r="E14" s="43">
        <v>26.3</v>
      </c>
      <c r="F14" s="117">
        <v>0.10972222222222222</v>
      </c>
      <c r="G14" s="44">
        <v>0</v>
      </c>
      <c r="H14" s="49">
        <v>0</v>
      </c>
      <c r="I14" s="49">
        <v>0</v>
      </c>
      <c r="J14" s="49">
        <f>IFERROR(E14/1000*VLOOKUP(D14,Filamentos!A$2:I$96,9,FALSE),"")</f>
        <v>2.63</v>
      </c>
      <c r="K14" s="50">
        <f>IFERROR(F14*24*VLOOKUP(C14,Impressoras!A$2:G$100,6,FALSE)*Outros!$B$2,"")</f>
        <v>0.33969999999999995</v>
      </c>
      <c r="L14" s="50">
        <f>IFERROR(F14*24*VLOOKUP(C14,Impressoras!A$2:G$100,7,FALSE),"")</f>
        <v>1.5209580333333332</v>
      </c>
      <c r="M14" s="49">
        <f>IFERROR(G14*24*Outros!$B$3,"")</f>
        <v>0</v>
      </c>
      <c r="N14" s="49">
        <f t="shared" si="0"/>
        <v>4.4906580333333332</v>
      </c>
      <c r="O14" s="85">
        <f>IFERROR(N14*(1+Outros!$B$4/100),"")</f>
        <v>4.9397238366666674</v>
      </c>
      <c r="P14" s="87">
        <f t="shared" si="1"/>
        <v>7.4095857550000011</v>
      </c>
      <c r="Q14" s="50">
        <f>IFERROR(P14/(1-Outros!$B$6-Outros!$B$7)+Outros!$B$8,"")</f>
        <v>13.261982193750001</v>
      </c>
      <c r="R14" s="87">
        <v>20</v>
      </c>
      <c r="S14" s="49">
        <v>15</v>
      </c>
      <c r="T14" s="45"/>
      <c r="U14" s="39" t="str">
        <f t="shared" si="2"/>
        <v/>
      </c>
    </row>
    <row r="15" spans="1:21">
      <c r="A15" s="47">
        <v>46063</v>
      </c>
      <c r="B15" s="42" t="s">
        <v>34</v>
      </c>
      <c r="C15" s="42" t="s">
        <v>26</v>
      </c>
      <c r="D15" s="42" t="s">
        <v>27</v>
      </c>
      <c r="E15" s="43">
        <v>64.010000000000005</v>
      </c>
      <c r="F15" s="117">
        <v>8.9583333333333334E-2</v>
      </c>
      <c r="G15" s="44">
        <v>0</v>
      </c>
      <c r="H15" s="49">
        <v>0</v>
      </c>
      <c r="I15" s="49">
        <v>0</v>
      </c>
      <c r="J15" s="49">
        <f>IFERROR(E15/1000*VLOOKUP(D15,Filamentos!A$2:I$96,9,FALSE),"")</f>
        <v>6.4010000000000016</v>
      </c>
      <c r="K15" s="50">
        <f>IFERROR(F15*24*VLOOKUP(C15,Impressoras!A$2:G$100,6,FALSE)*Outros!$B$2,"")</f>
        <v>0.27734999999999993</v>
      </c>
      <c r="L15" s="50">
        <f>IFERROR(F15*24*VLOOKUP(C15,Impressoras!A$2:G$100,7,FALSE),"")</f>
        <v>1.2417948499999998</v>
      </c>
      <c r="M15" s="49">
        <f>IFERROR(G15*24*Outros!$B$3,"")</f>
        <v>0</v>
      </c>
      <c r="N15" s="49">
        <f t="shared" si="0"/>
        <v>7.9201448500000016</v>
      </c>
      <c r="O15" s="85">
        <f>IFERROR(N15*(1+Outros!$B$4/100),"")</f>
        <v>8.7121593350000026</v>
      </c>
      <c r="P15" s="87">
        <f t="shared" si="1"/>
        <v>13.068239002500004</v>
      </c>
      <c r="Q15" s="50">
        <f>IFERROR(P15/(1-Outros!$B$6-Outros!$B$7)+Outros!$B$8,"")</f>
        <v>20.335298753125002</v>
      </c>
      <c r="R15" s="87">
        <v>20</v>
      </c>
      <c r="S15" s="49">
        <v>15</v>
      </c>
      <c r="T15" s="45"/>
      <c r="U15" s="39" t="str">
        <f t="shared" si="2"/>
        <v/>
      </c>
    </row>
    <row r="16" spans="1:21">
      <c r="A16" s="47">
        <v>46067</v>
      </c>
      <c r="B16" s="42" t="s">
        <v>35</v>
      </c>
      <c r="C16" s="42" t="s">
        <v>26</v>
      </c>
      <c r="D16" s="42" t="s">
        <v>27</v>
      </c>
      <c r="E16" s="43">
        <v>24.29</v>
      </c>
      <c r="F16" s="117">
        <v>9.0277777777777776E-2</v>
      </c>
      <c r="G16" s="44">
        <v>0</v>
      </c>
      <c r="H16" s="49">
        <v>0</v>
      </c>
      <c r="I16" s="49">
        <v>0</v>
      </c>
      <c r="J16" s="49">
        <f>IFERROR(E16/1000*VLOOKUP(D16,Filamentos!A$2:I$96,9,FALSE),"")</f>
        <v>2.4289999999999998</v>
      </c>
      <c r="K16" s="50">
        <f>IFERROR(F16*24*VLOOKUP(C16,Impressoras!A$2:G$100,6,FALSE)*Outros!$B$2,"")</f>
        <v>0.27949999999999997</v>
      </c>
      <c r="L16" s="50">
        <f>IFERROR(F16*24*VLOOKUP(C16,Impressoras!A$2:G$100,7,FALSE),"")</f>
        <v>1.2514211666666666</v>
      </c>
      <c r="M16" s="49">
        <f>IFERROR(G16*24*Outros!$B$3,"")</f>
        <v>0</v>
      </c>
      <c r="N16" s="49">
        <f t="shared" si="0"/>
        <v>3.9599211666666667</v>
      </c>
      <c r="O16" s="85">
        <f>IFERROR(N16*(1+Outros!$B$4/100),"")</f>
        <v>4.3559132833333338</v>
      </c>
      <c r="P16" s="87">
        <f t="shared" si="1"/>
        <v>6.5338699250000012</v>
      </c>
      <c r="Q16" s="50">
        <f>IFERROR(P16/(1-Outros!$B$6-Outros!$B$7)+Outros!$B$8,"")</f>
        <v>12.167337406250001</v>
      </c>
      <c r="R16" s="87">
        <v>10</v>
      </c>
      <c r="S16" s="49">
        <v>7</v>
      </c>
      <c r="T16" s="45"/>
      <c r="U16" s="39" t="str">
        <f t="shared" si="2"/>
        <v/>
      </c>
    </row>
    <row r="17" spans="1:22">
      <c r="A17" s="47">
        <v>46063</v>
      </c>
      <c r="B17" s="42" t="s">
        <v>36</v>
      </c>
      <c r="C17" s="42" t="s">
        <v>26</v>
      </c>
      <c r="D17" s="42" t="s">
        <v>27</v>
      </c>
      <c r="E17" s="43">
        <v>279.52</v>
      </c>
      <c r="F17" s="117">
        <v>0.17916666666666667</v>
      </c>
      <c r="G17" s="44">
        <v>0</v>
      </c>
      <c r="H17" s="49">
        <v>0</v>
      </c>
      <c r="I17" s="49">
        <v>0</v>
      </c>
      <c r="J17" s="49">
        <f>IFERROR(E17/1000*VLOOKUP(D17,Filamentos!A$2:I$96,9,FALSE),"")</f>
        <v>27.951999999999998</v>
      </c>
      <c r="K17" s="50">
        <f>IFERROR(F17*24*VLOOKUP(C17,Impressoras!A$2:G$100,6,FALSE)*Outros!$B$2,"")</f>
        <v>0.55469999999999986</v>
      </c>
      <c r="L17" s="50">
        <f>IFERROR(F17*24*VLOOKUP(C17,Impressoras!A$2:G$100,7,FALSE),"")</f>
        <v>2.4835896999999996</v>
      </c>
      <c r="M17" s="49">
        <f>IFERROR(G17*24*Outros!$B$3,"")</f>
        <v>0</v>
      </c>
      <c r="N17" s="49">
        <f t="shared" si="0"/>
        <v>30.990289699999998</v>
      </c>
      <c r="O17" s="85">
        <f>IFERROR(N17*(1+Outros!$B$4/100),"")</f>
        <v>34.089318669999997</v>
      </c>
      <c r="P17" s="87">
        <f t="shared" si="1"/>
        <v>51.133978004999996</v>
      </c>
      <c r="Q17" s="50">
        <f>IFERROR(P17/(1-Outros!$B$6-Outros!$B$7)+Outros!$B$8,"")</f>
        <v>67.917472506249993</v>
      </c>
      <c r="R17" s="87">
        <v>70</v>
      </c>
      <c r="S17" s="49">
        <v>60</v>
      </c>
      <c r="T17" s="45"/>
      <c r="U17" s="39" t="str">
        <f t="shared" si="2"/>
        <v/>
      </c>
    </row>
    <row r="18" spans="1:22">
      <c r="A18" s="47">
        <v>46063</v>
      </c>
      <c r="B18" s="42" t="s">
        <v>37</v>
      </c>
      <c r="C18" s="42" t="s">
        <v>26</v>
      </c>
      <c r="D18" s="42" t="s">
        <v>27</v>
      </c>
      <c r="E18" s="43">
        <v>35.799999999999997</v>
      </c>
      <c r="F18" s="117">
        <v>6.3194444444444442E-2</v>
      </c>
      <c r="G18" s="44">
        <v>0</v>
      </c>
      <c r="H18" s="49">
        <v>0</v>
      </c>
      <c r="I18" s="49">
        <v>0</v>
      </c>
      <c r="J18" s="49">
        <f>IFERROR(E18/1000*VLOOKUP(D18,Filamentos!A$2:I$96,9,FALSE),"")</f>
        <v>3.58</v>
      </c>
      <c r="K18" s="50">
        <f>IFERROR(F18*24*VLOOKUP(C18,Impressoras!A$2:G$100,6,FALSE)*Outros!$B$2,"")</f>
        <v>0.19564999999999999</v>
      </c>
      <c r="L18" s="50">
        <f>IFERROR(F18*24*VLOOKUP(C18,Impressoras!A$2:G$100,7,FALSE),"")</f>
        <v>0.87599481666666656</v>
      </c>
      <c r="M18" s="49">
        <f>IFERROR(G18*24*Outros!$B$3,"")</f>
        <v>0</v>
      </c>
      <c r="N18" s="49">
        <f t="shared" si="0"/>
        <v>4.6516448166666668</v>
      </c>
      <c r="O18" s="85">
        <f>IFERROR(N18*(1+Outros!$B$4/100),"")</f>
        <v>5.116809298333334</v>
      </c>
      <c r="P18" s="87">
        <f t="shared" si="1"/>
        <v>7.6752139475000014</v>
      </c>
      <c r="Q18" s="50">
        <f>IFERROR(P18/(1-Outros!$B$6-Outros!$B$7)+Outros!$B$8,"")</f>
        <v>13.594017434375001</v>
      </c>
      <c r="R18" s="87">
        <v>10</v>
      </c>
      <c r="S18" s="49">
        <v>7.5</v>
      </c>
      <c r="T18" s="45"/>
      <c r="U18" s="39" t="str">
        <f t="shared" si="2"/>
        <v/>
      </c>
    </row>
    <row r="19" spans="1:22">
      <c r="A19" s="105">
        <v>46069</v>
      </c>
      <c r="B19" s="106" t="s">
        <v>38</v>
      </c>
      <c r="C19" s="106" t="s">
        <v>26</v>
      </c>
      <c r="D19" s="106" t="s">
        <v>39</v>
      </c>
      <c r="E19" s="107">
        <v>47</v>
      </c>
      <c r="F19" s="118">
        <v>0.10902777777777778</v>
      </c>
      <c r="G19" s="108">
        <v>6.25E-2</v>
      </c>
      <c r="H19" s="109">
        <v>0</v>
      </c>
      <c r="I19" s="109">
        <v>0</v>
      </c>
      <c r="J19" s="109">
        <f>IFERROR(E19/1000*VLOOKUP(D19,Filamentos!A$2:I$96,9,FALSE),"")</f>
        <v>2.9093</v>
      </c>
      <c r="K19" s="110">
        <f>IFERROR(F19*24*VLOOKUP(C19,Impressoras!A$2:G$100,6,FALSE)*Outros!$B$2,"")</f>
        <v>0.33755000000000002</v>
      </c>
      <c r="L19" s="110">
        <f>IFERROR(F19*24*VLOOKUP(C19,Impressoras!A$2:G$100,7,FALSE),"")</f>
        <v>1.5113317166666667</v>
      </c>
      <c r="M19" s="109">
        <f>IFERROR(G19*24*Outros!$B$3,"")</f>
        <v>15</v>
      </c>
      <c r="N19" s="109">
        <f t="shared" si="0"/>
        <v>19.758181716666666</v>
      </c>
      <c r="O19" s="111">
        <f>IFERROR(N19*(1+Outros!$B$4/100),"")</f>
        <v>21.733999888333333</v>
      </c>
      <c r="P19" s="112">
        <f t="shared" si="1"/>
        <v>32.600999832500001</v>
      </c>
      <c r="Q19" s="110">
        <f>IFERROR(P19/(1-Outros!$B$6-Outros!$B$7)+Outros!$B$8,"")</f>
        <v>44.751249790624996</v>
      </c>
      <c r="R19" s="112">
        <v>0</v>
      </c>
      <c r="S19" s="109">
        <v>0</v>
      </c>
      <c r="T19" s="113">
        <v>0</v>
      </c>
      <c r="U19" s="114" t="str">
        <f t="shared" si="2"/>
        <v/>
      </c>
    </row>
    <row r="20" spans="1:22">
      <c r="A20" s="47">
        <v>46069</v>
      </c>
      <c r="B20" s="42" t="s">
        <v>40</v>
      </c>
      <c r="C20" s="42" t="s">
        <v>26</v>
      </c>
      <c r="D20" s="42" t="s">
        <v>39</v>
      </c>
      <c r="E20" s="43">
        <v>174.86</v>
      </c>
      <c r="F20" s="117">
        <v>0.41666666666666669</v>
      </c>
      <c r="G20" s="44">
        <v>0</v>
      </c>
      <c r="H20" s="49">
        <v>0</v>
      </c>
      <c r="I20" s="49">
        <v>0</v>
      </c>
      <c r="J20" s="49">
        <f>IFERROR(E20/1000*VLOOKUP(D20,Filamentos!A$2:I$96,9,FALSE),"")</f>
        <v>10.823834000000002</v>
      </c>
      <c r="K20" s="50">
        <f>IFERROR(F20*24*VLOOKUP(C20,Impressoras!A$2:G$100,6,FALSE)*Outros!$B$2,"")</f>
        <v>1.29</v>
      </c>
      <c r="L20" s="50">
        <f>IFERROR(F20*24*VLOOKUP(C20,Impressoras!A$2:G$100,7,FALSE),"")</f>
        <v>5.7757899999999998</v>
      </c>
      <c r="M20" s="49">
        <f>IFERROR(G20*24*Outros!$B$3,"")</f>
        <v>0</v>
      </c>
      <c r="N20" s="49">
        <f t="shared" si="0"/>
        <v>17.889624000000001</v>
      </c>
      <c r="O20" s="85">
        <f>IFERROR(N20*(1+Outros!$B$4/100),"")</f>
        <v>19.678586400000004</v>
      </c>
      <c r="P20" s="87">
        <f t="shared" si="1"/>
        <v>29.517879600000008</v>
      </c>
      <c r="Q20" s="50">
        <f>IFERROR(P20/(1-Outros!$B$6-Outros!$B$7)+Outros!$B$8,"")</f>
        <v>40.897349500000004</v>
      </c>
      <c r="R20" s="87">
        <v>50</v>
      </c>
      <c r="S20" s="49">
        <v>40</v>
      </c>
      <c r="T20" s="45"/>
      <c r="U20" s="39" t="str">
        <f t="shared" si="2"/>
        <v/>
      </c>
    </row>
    <row r="21" spans="1:22">
      <c r="A21" s="47">
        <v>46071</v>
      </c>
      <c r="B21" s="42" t="s">
        <v>41</v>
      </c>
      <c r="C21" s="42" t="s">
        <v>26</v>
      </c>
      <c r="D21" s="42" t="s">
        <v>27</v>
      </c>
      <c r="E21" s="43">
        <v>73.900000000000006</v>
      </c>
      <c r="F21" s="117">
        <v>0.24930555555555556</v>
      </c>
      <c r="G21" s="44">
        <v>0</v>
      </c>
      <c r="H21" s="49">
        <v>0</v>
      </c>
      <c r="I21" s="49">
        <v>0</v>
      </c>
      <c r="J21" s="49">
        <f>IFERROR(E21/1000*VLOOKUP(D21,Filamentos!A$2:I$96,9,FALSE),"")</f>
        <v>7.3900000000000006</v>
      </c>
      <c r="K21" s="50">
        <f>IFERROR(F21*24*VLOOKUP(C21,Impressoras!A$2:G$100,6,FALSE)*Outros!$B$2,"")</f>
        <v>0.77184999999999993</v>
      </c>
      <c r="L21" s="50">
        <f>IFERROR(F21*24*VLOOKUP(C21,Impressoras!A$2:G$100,7,FALSE),"")</f>
        <v>3.4558476833333329</v>
      </c>
      <c r="M21" s="49">
        <f>IFERROR(G21*24*Outros!$B$3,"")</f>
        <v>0</v>
      </c>
      <c r="N21" s="49">
        <f t="shared" si="0"/>
        <v>11.617697683333335</v>
      </c>
      <c r="O21" s="85">
        <f>IFERROR(N21*(1+Outros!$B$4/100),"")</f>
        <v>12.779467451666669</v>
      </c>
      <c r="P21" s="87">
        <f t="shared" si="1"/>
        <v>19.169201177500003</v>
      </c>
      <c r="Q21" s="50">
        <f>IFERROR(P21/(1-Outros!$B$6-Outros!$B$7)+Outros!$B$8,"")</f>
        <v>27.961501471875003</v>
      </c>
      <c r="R21" s="87">
        <v>30</v>
      </c>
      <c r="S21" s="49">
        <v>20</v>
      </c>
      <c r="T21" s="45">
        <v>50</v>
      </c>
      <c r="U21" s="39">
        <f t="shared" si="2"/>
        <v>2.9125261040106265</v>
      </c>
    </row>
    <row r="22" spans="1:22">
      <c r="A22" s="47">
        <v>46072</v>
      </c>
      <c r="B22" s="42" t="s">
        <v>42</v>
      </c>
      <c r="C22" s="42" t="s">
        <v>26</v>
      </c>
      <c r="D22" s="42" t="s">
        <v>27</v>
      </c>
      <c r="E22" s="43">
        <v>99.92</v>
      </c>
      <c r="F22" s="117">
        <v>0.14583333333333334</v>
      </c>
      <c r="G22" s="44">
        <v>2.0833333333333332E-2</v>
      </c>
      <c r="H22" s="49">
        <v>0</v>
      </c>
      <c r="I22" s="49">
        <v>0</v>
      </c>
      <c r="J22" s="49">
        <f>IFERROR(E22/1000*VLOOKUP(D22,Filamentos!A$2:I$96,9,FALSE),"")</f>
        <v>9.9919999999999991</v>
      </c>
      <c r="K22" s="50">
        <f>IFERROR(F22*24*VLOOKUP(C22,Impressoras!A$2:G$100,6,FALSE)*Outros!$B$2,"")</f>
        <v>0.45150000000000001</v>
      </c>
      <c r="L22" s="50">
        <f>IFERROR(F22*24*VLOOKUP(C22,Impressoras!A$2:G$100,7,FALSE),"")</f>
        <v>2.0215264999999998</v>
      </c>
      <c r="M22" s="49">
        <f>IFERROR(G22*24*Outros!$B$3,"")</f>
        <v>5</v>
      </c>
      <c r="N22" s="49">
        <f t="shared" si="0"/>
        <v>17.4650265</v>
      </c>
      <c r="O22" s="85">
        <f>IFERROR(N22*(1+Outros!$B$4/100),"")</f>
        <v>19.21152915</v>
      </c>
      <c r="P22" s="87">
        <f t="shared" si="1"/>
        <v>28.817293724999999</v>
      </c>
      <c r="Q22" s="50">
        <f>IFERROR(P22/(1-Outros!$B$6-Outros!$B$7)+Outros!$B$8,"")</f>
        <v>40.021617156249995</v>
      </c>
      <c r="R22" s="87">
        <v>65</v>
      </c>
      <c r="S22" s="49"/>
      <c r="T22" s="45">
        <v>65</v>
      </c>
      <c r="U22" s="39">
        <f t="shared" si="2"/>
        <v>2.3833850232582865</v>
      </c>
      <c r="V22" s="89"/>
    </row>
    <row r="23" spans="1:22">
      <c r="A23" s="47">
        <v>46072</v>
      </c>
      <c r="B23" s="42" t="s">
        <v>43</v>
      </c>
      <c r="C23" s="42" t="s">
        <v>26</v>
      </c>
      <c r="D23" s="42" t="s">
        <v>27</v>
      </c>
      <c r="E23" s="43">
        <v>98.04</v>
      </c>
      <c r="F23" s="117">
        <v>0.27708333333333335</v>
      </c>
      <c r="G23" s="44">
        <v>6.25E-2</v>
      </c>
      <c r="H23" s="49">
        <v>0</v>
      </c>
      <c r="I23" s="49">
        <v>0</v>
      </c>
      <c r="J23" s="49">
        <f>IFERROR(E23/1000*VLOOKUP(D23,Filamentos!A$2:I$96,9,FALSE),"")</f>
        <v>9.8040000000000003</v>
      </c>
      <c r="K23" s="50">
        <f>IFERROR(F23*24*VLOOKUP(C23,Impressoras!A$2:G$100,6,FALSE)*Outros!$B$2,"")</f>
        <v>0.85785</v>
      </c>
      <c r="L23" s="50">
        <f>IFERROR(F23*24*VLOOKUP(C23,Impressoras!A$2:G$100,7,FALSE),"")</f>
        <v>3.8409003500000001</v>
      </c>
      <c r="M23" s="49">
        <f>IFERROR(G23*24*Outros!$B$3,"")</f>
        <v>15</v>
      </c>
      <c r="N23" s="49">
        <f t="shared" si="0"/>
        <v>29.502750349999999</v>
      </c>
      <c r="O23" s="85">
        <f>IFERROR(N23*(1+Outros!$B$4/100),"")</f>
        <v>32.453025385000004</v>
      </c>
      <c r="P23" s="87">
        <f t="shared" si="1"/>
        <v>48.679538077500005</v>
      </c>
      <c r="Q23" s="50">
        <f>IFERROR(P23/(1-Outros!$B$6-Outros!$B$7)+Outros!$B$8,"")</f>
        <v>64.849422596875002</v>
      </c>
      <c r="R23" s="87">
        <v>170</v>
      </c>
      <c r="S23" s="49"/>
      <c r="T23" s="45">
        <v>170</v>
      </c>
      <c r="U23" s="39">
        <f t="shared" si="2"/>
        <v>4.2383405856076246</v>
      </c>
    </row>
    <row r="24" spans="1:22">
      <c r="A24" s="47">
        <v>46073</v>
      </c>
      <c r="B24" s="42" t="s">
        <v>44</v>
      </c>
      <c r="C24" s="42" t="s">
        <v>26</v>
      </c>
      <c r="D24" s="42" t="s">
        <v>39</v>
      </c>
      <c r="E24" s="43">
        <v>58.42</v>
      </c>
      <c r="F24" s="117">
        <v>0.13958333333333334</v>
      </c>
      <c r="G24" s="44">
        <v>8.3333333333333329E-2</v>
      </c>
      <c r="H24" s="49">
        <v>0</v>
      </c>
      <c r="I24" s="49">
        <v>0</v>
      </c>
      <c r="J24" s="49">
        <f>IFERROR(E24/1000*VLOOKUP(D24,Filamentos!A$2:I$96,9,FALSE),"")</f>
        <v>3.6161979999999998</v>
      </c>
      <c r="K24" s="50">
        <f>IFERROR(F24*24*VLOOKUP(C24,Impressoras!A$2:G$100,6,FALSE)*Outros!$B$2,"")</f>
        <v>0.43214999999999992</v>
      </c>
      <c r="L24" s="50">
        <f>IFERROR(F24*24*VLOOKUP(C24,Impressoras!A$2:G$100,7,FALSE),"")</f>
        <v>1.9348896499999999</v>
      </c>
      <c r="M24" s="49">
        <f>IFERROR(G24*24*Outros!$B$3,"")</f>
        <v>20</v>
      </c>
      <c r="N24" s="49">
        <f t="shared" si="0"/>
        <v>25.98323765</v>
      </c>
      <c r="O24" s="85">
        <f>IFERROR(N24*(1+Outros!$B$4/100),"")</f>
        <v>28.581561415000003</v>
      </c>
      <c r="P24" s="87">
        <f t="shared" si="1"/>
        <v>42.872342122500001</v>
      </c>
      <c r="Q24" s="50">
        <f>IFERROR(P24/(1-Outros!$B$6-Outros!$B$7)+Outros!$B$8,"")</f>
        <v>57.590427653124998</v>
      </c>
      <c r="R24" s="87"/>
      <c r="S24" s="49"/>
      <c r="T24" s="45"/>
      <c r="U24" s="39" t="str">
        <f t="shared" si="2"/>
        <v/>
      </c>
    </row>
    <row r="25" spans="1:22">
      <c r="A25" s="47">
        <v>46074</v>
      </c>
      <c r="B25" s="42" t="s">
        <v>45</v>
      </c>
      <c r="C25" s="42" t="s">
        <v>26</v>
      </c>
      <c r="D25" s="42" t="s">
        <v>39</v>
      </c>
      <c r="E25" s="43">
        <v>100.99</v>
      </c>
      <c r="F25" s="117">
        <v>0.34097222222222223</v>
      </c>
      <c r="G25" s="44">
        <v>2.0833333333333332E-2</v>
      </c>
      <c r="H25" s="49">
        <v>0</v>
      </c>
      <c r="I25" s="49">
        <v>0</v>
      </c>
      <c r="J25" s="49">
        <f>IFERROR(E25/1000*VLOOKUP(D25,Filamentos!A$2:I$96,9,FALSE),"")</f>
        <v>6.2512809999999996</v>
      </c>
      <c r="K25" s="50">
        <f>IFERROR(F25*24*VLOOKUP(C25,Impressoras!A$2:G$100,6,FALSE)*Outros!$B$2,"")</f>
        <v>1.05565</v>
      </c>
      <c r="L25" s="50">
        <f>IFERROR(F25*24*VLOOKUP(C25,Impressoras!A$2:G$100,7,FALSE),"")</f>
        <v>4.7265214833333333</v>
      </c>
      <c r="M25" s="49">
        <f>IFERROR(G25*24*Outros!$B$3,"")</f>
        <v>5</v>
      </c>
      <c r="N25" s="49">
        <f t="shared" si="0"/>
        <v>17.033452483333335</v>
      </c>
      <c r="O25" s="85">
        <f>IFERROR(N25*(1+Outros!$B$4/100),"")</f>
        <v>18.73679773166667</v>
      </c>
      <c r="P25" s="87">
        <f t="shared" si="1"/>
        <v>28.105196597500004</v>
      </c>
      <c r="Q25" s="50">
        <f>IFERROR(P25/(1-Outros!$B$6-Outros!$B$7)+Outros!$B$8,"")</f>
        <v>39.131495746875004</v>
      </c>
      <c r="R25" s="87">
        <v>60</v>
      </c>
      <c r="S25" s="49">
        <v>35</v>
      </c>
      <c r="T25" s="45">
        <v>50</v>
      </c>
      <c r="U25" s="39">
        <f t="shared" si="2"/>
        <v>1.668545645635916</v>
      </c>
    </row>
    <row r="26" spans="1:22">
      <c r="A26" s="47">
        <v>46074</v>
      </c>
      <c r="B26" s="42" t="s">
        <v>46</v>
      </c>
      <c r="C26" s="42" t="s">
        <v>26</v>
      </c>
      <c r="D26" s="42" t="s">
        <v>39</v>
      </c>
      <c r="E26" s="43">
        <v>291.17</v>
      </c>
      <c r="F26" s="117">
        <v>1.4159722222222222</v>
      </c>
      <c r="G26" s="44">
        <v>2.0833333333333332E-2</v>
      </c>
      <c r="H26" s="49">
        <v>0</v>
      </c>
      <c r="I26" s="49">
        <v>0</v>
      </c>
      <c r="J26" s="49">
        <f>IFERROR(E26/1000*VLOOKUP(D26,Filamentos!A$2:I$96,9,FALSE),"")</f>
        <v>18.023423000000001</v>
      </c>
      <c r="K26" s="50">
        <f>IFERROR(F26*24*VLOOKUP(C26,Impressoras!A$2:G$100,6,FALSE)*Outros!$B$2,"")</f>
        <v>4.3838499999999998</v>
      </c>
      <c r="L26" s="50">
        <f>IFERROR(F26*24*VLOOKUP(C26,Impressoras!A$2:G$100,7,FALSE),"")</f>
        <v>19.628059683333333</v>
      </c>
      <c r="M26" s="49">
        <f>IFERROR(G26*24*Outros!$B$3,"")</f>
        <v>5</v>
      </c>
      <c r="N26" s="49">
        <f t="shared" si="0"/>
        <v>47.035332683333337</v>
      </c>
      <c r="O26" s="85">
        <f>IFERROR(N26*(1+Outros!$B$4/100),"")</f>
        <v>51.738865951666675</v>
      </c>
      <c r="P26" s="87">
        <f t="shared" si="1"/>
        <v>77.608298927500016</v>
      </c>
      <c r="Q26" s="50">
        <f>IFERROR(P26/(1-Outros!$B$6-Outros!$B$7)+Outros!$B$8,"")</f>
        <v>101.01037365937502</v>
      </c>
      <c r="R26" s="87">
        <v>150</v>
      </c>
      <c r="S26" s="49">
        <v>70</v>
      </c>
      <c r="T26" s="45">
        <v>130</v>
      </c>
      <c r="U26" s="39">
        <f t="shared" si="2"/>
        <v>1.5126178861640143</v>
      </c>
    </row>
    <row r="27" spans="1:22">
      <c r="A27" s="47">
        <v>46075</v>
      </c>
      <c r="B27" s="42" t="s">
        <v>47</v>
      </c>
      <c r="C27" s="42" t="s">
        <v>26</v>
      </c>
      <c r="D27" s="42" t="s">
        <v>39</v>
      </c>
      <c r="E27" s="43">
        <v>44.48</v>
      </c>
      <c r="F27" s="117">
        <v>0.12222222222222222</v>
      </c>
      <c r="G27" s="44">
        <v>0</v>
      </c>
      <c r="H27" s="49">
        <v>0</v>
      </c>
      <c r="I27" s="49">
        <v>0</v>
      </c>
      <c r="J27" s="49">
        <f>IFERROR(E27/1000*VLOOKUP(D27,Filamentos!A$2:I$96,9,FALSE),"")</f>
        <v>2.7533119999999998</v>
      </c>
      <c r="K27" s="50">
        <f>IFERROR(F27*24*VLOOKUP(C27,Impressoras!A$2:G$100,6,FALSE)*Outros!$B$2,"")</f>
        <v>0.37839999999999996</v>
      </c>
      <c r="L27" s="50">
        <f>IFERROR(F27*24*VLOOKUP(C27,Impressoras!A$2:G$100,7,FALSE),"")</f>
        <v>1.694231733333333</v>
      </c>
      <c r="M27" s="49">
        <f>IFERROR(G27*24*Outros!$B$3,"")</f>
        <v>0</v>
      </c>
      <c r="N27" s="49">
        <f t="shared" si="0"/>
        <v>4.8259437333333324</v>
      </c>
      <c r="O27" s="85">
        <f>IFERROR(N27*(1+Outros!$B$4/100),"")</f>
        <v>5.3085381066666661</v>
      </c>
      <c r="P27" s="87">
        <f t="shared" si="1"/>
        <v>7.9628071599999988</v>
      </c>
      <c r="Q27" s="50">
        <f>IFERROR(P27/(1-Outros!$B$6-Outros!$B$7)+Outros!$B$8,"")</f>
        <v>13.953508949999998</v>
      </c>
      <c r="R27" s="87"/>
      <c r="S27" s="49"/>
      <c r="T27" s="45">
        <v>20</v>
      </c>
      <c r="U27" s="39">
        <f t="shared" si="2"/>
        <v>2.7675155754996332</v>
      </c>
    </row>
    <row r="28" spans="1:22">
      <c r="A28" s="47">
        <v>46083</v>
      </c>
      <c r="B28" s="42" t="s">
        <v>48</v>
      </c>
      <c r="C28" s="42" t="s">
        <v>26</v>
      </c>
      <c r="D28" s="42" t="s">
        <v>27</v>
      </c>
      <c r="E28" s="43">
        <f>(E30/10)*16</f>
        <v>90.992000000000004</v>
      </c>
      <c r="F28" s="117">
        <f>(F30/10)*16</f>
        <v>0.35888888888888892</v>
      </c>
      <c r="G28" s="44">
        <v>2.0833333333333332E-2</v>
      </c>
      <c r="H28" s="49">
        <v>26.5</v>
      </c>
      <c r="I28" s="49">
        <v>0</v>
      </c>
      <c r="J28" s="49">
        <f>IFERROR(E28/1000*VLOOKUP(D28,Filamentos!A$2:I$96,9,FALSE),"")</f>
        <v>9.0991999999999997</v>
      </c>
      <c r="K28" s="50">
        <f>IFERROR(F28*24*VLOOKUP(C28,Impressoras!A$2:G$100,6,FALSE)*Outros!$B$2,"")</f>
        <v>1.1111200000000001</v>
      </c>
      <c r="L28" s="50">
        <f>IFERROR(F28*24*VLOOKUP(C28,Impressoras!A$2:G$100,7,FALSE),"")</f>
        <v>4.9748804533333333</v>
      </c>
      <c r="M28" s="49">
        <f>IFERROR(G28*24*Outros!$B$3,"")</f>
        <v>5</v>
      </c>
      <c r="N28" s="49">
        <f t="shared" si="0"/>
        <v>20.185200453333334</v>
      </c>
      <c r="O28" s="85">
        <f>IFERROR(N28*(1+Outros!$B$4/100),"")</f>
        <v>22.203720498666669</v>
      </c>
      <c r="P28" s="87">
        <f t="shared" si="1"/>
        <v>33.305580748000004</v>
      </c>
      <c r="Q28" s="50">
        <f>IFERROR(P28/(1-Outros!$B$6-Outros!$B$7)+Outros!$B$8,"")</f>
        <v>45.631975935</v>
      </c>
      <c r="R28" s="87">
        <v>90</v>
      </c>
      <c r="S28" s="49">
        <v>50</v>
      </c>
      <c r="T28" s="45">
        <v>104</v>
      </c>
      <c r="U28" s="39">
        <f t="shared" si="2"/>
        <v>3.6838997097916626</v>
      </c>
    </row>
    <row r="29" spans="1:22">
      <c r="A29" s="47">
        <v>46076</v>
      </c>
      <c r="B29" s="42" t="s">
        <v>36</v>
      </c>
      <c r="C29" s="42" t="s">
        <v>26</v>
      </c>
      <c r="D29" s="42" t="s">
        <v>27</v>
      </c>
      <c r="E29" s="43">
        <v>179.6</v>
      </c>
      <c r="F29" s="117">
        <v>0.11319444444444444</v>
      </c>
      <c r="G29" s="44">
        <v>2.0833333333333332E-2</v>
      </c>
      <c r="H29" s="49">
        <v>0</v>
      </c>
      <c r="I29" s="49">
        <v>0</v>
      </c>
      <c r="J29" s="49">
        <f>IFERROR(E29/1000*VLOOKUP(D29,Filamentos!A$2:I$96,9,FALSE),"")</f>
        <v>17.959999999999997</v>
      </c>
      <c r="K29" s="50">
        <f>IFERROR(F29*24*VLOOKUP(C29,Impressoras!A$2:G$100,6,FALSE)*Outros!$B$2,"")</f>
        <v>0.35045000000000004</v>
      </c>
      <c r="L29" s="50">
        <f>IFERROR(F29*24*VLOOKUP(C29,Impressoras!A$2:G$100,7,FALSE),"")</f>
        <v>1.5690896166666666</v>
      </c>
      <c r="M29" s="49">
        <f>IFERROR(G29*24*Outros!$B$3,"")</f>
        <v>5</v>
      </c>
      <c r="N29" s="49">
        <f t="shared" si="0"/>
        <v>24.879539616666662</v>
      </c>
      <c r="O29" s="85">
        <f>IFERROR(N29*(1+Outros!$B$4/100),"")</f>
        <v>27.367493578333331</v>
      </c>
      <c r="P29" s="87">
        <f t="shared" si="1"/>
        <v>41.0512403675</v>
      </c>
      <c r="Q29" s="50">
        <f>IFERROR(P29/(1-Outros!$B$6-Outros!$B$7)+Outros!$B$8,"")</f>
        <v>55.314050459374997</v>
      </c>
      <c r="R29" s="87">
        <v>65</v>
      </c>
      <c r="S29" s="49">
        <v>60</v>
      </c>
      <c r="T29" s="45">
        <v>65</v>
      </c>
      <c r="U29" s="39">
        <f t="shared" si="2"/>
        <v>1.3750804878770515</v>
      </c>
    </row>
    <row r="30" spans="1:22">
      <c r="A30" s="47">
        <v>46077</v>
      </c>
      <c r="B30" s="42" t="s">
        <v>49</v>
      </c>
      <c r="C30" s="42" t="s">
        <v>26</v>
      </c>
      <c r="D30" s="42" t="s">
        <v>39</v>
      </c>
      <c r="E30" s="43">
        <f>47.35+9.52</f>
        <v>56.870000000000005</v>
      </c>
      <c r="F30" s="117">
        <v>0.22430555555555556</v>
      </c>
      <c r="G30" s="44">
        <v>2.0833333333333332E-2</v>
      </c>
      <c r="H30" s="49">
        <v>2.7</v>
      </c>
      <c r="I30" s="49">
        <v>0.1</v>
      </c>
      <c r="J30" s="49">
        <f>IFERROR(E30/1000*VLOOKUP(D30,Filamentos!A$2:I$96,9,FALSE),"")</f>
        <v>3.5202530000000003</v>
      </c>
      <c r="K30" s="50">
        <f>IFERROR(F30*24*VLOOKUP(C30,Impressoras!A$2:G$100,6,FALSE)*Outros!$B$2,"")</f>
        <v>0.69445000000000001</v>
      </c>
      <c r="L30" s="50">
        <f>IFERROR(F30*24*VLOOKUP(C30,Impressoras!A$2:G$100,7,FALSE),"")</f>
        <v>3.1093002833333334</v>
      </c>
      <c r="M30" s="49">
        <f>IFERROR(G30*24*Outros!$B$3,"")</f>
        <v>5</v>
      </c>
      <c r="N30" s="49">
        <f t="shared" si="0"/>
        <v>12.324003283333333</v>
      </c>
      <c r="O30" s="85">
        <f>IFERROR(N30*(1+Outros!$B$4/100),"")</f>
        <v>13.556403611666667</v>
      </c>
      <c r="P30" s="87">
        <f t="shared" si="1"/>
        <v>20.334605417500001</v>
      </c>
      <c r="Q30" s="50">
        <f>IFERROR(P30/(1-Outros!$B$6-Outros!$B$7)+Outros!$B$8,"")</f>
        <v>29.418256771875001</v>
      </c>
      <c r="R30" s="87">
        <v>65</v>
      </c>
      <c r="S30" s="49">
        <v>35</v>
      </c>
      <c r="T30" s="45">
        <v>65</v>
      </c>
      <c r="U30" s="39">
        <f t="shared" si="2"/>
        <v>3.79478199838052</v>
      </c>
    </row>
    <row r="31" spans="1:22">
      <c r="A31" s="47">
        <v>46083</v>
      </c>
      <c r="B31" s="42" t="s">
        <v>50</v>
      </c>
      <c r="C31" s="42" t="s">
        <v>26</v>
      </c>
      <c r="D31" s="42" t="s">
        <v>39</v>
      </c>
      <c r="E31" s="43">
        <f>16.1+145.5+2.5</f>
        <v>164.1</v>
      </c>
      <c r="F31" s="117">
        <v>0.33194444444444443</v>
      </c>
      <c r="G31" s="44">
        <v>0</v>
      </c>
      <c r="H31" s="49">
        <v>0</v>
      </c>
      <c r="I31" s="49">
        <v>0</v>
      </c>
      <c r="J31" s="49">
        <f>IFERROR(E31/1000*VLOOKUP(D31,Filamentos!A$2:I$96,9,FALSE),"")</f>
        <v>10.15779</v>
      </c>
      <c r="K31" s="50">
        <f>IFERROR(F31*24*VLOOKUP(C31,Impressoras!A$2:G$100,6,FALSE)*Outros!$B$2,"")</f>
        <v>1.0277000000000001</v>
      </c>
      <c r="L31" s="50">
        <f>IFERROR(F31*24*VLOOKUP(C31,Impressoras!A$2:G$100,7,FALSE),"")</f>
        <v>4.6013793666666665</v>
      </c>
      <c r="M31" s="49">
        <f>IFERROR(G31*24*Outros!$B$3,"")</f>
        <v>0</v>
      </c>
      <c r="N31" s="49">
        <f t="shared" si="0"/>
        <v>15.786869366666666</v>
      </c>
      <c r="O31" s="85">
        <f>IFERROR(N31*(1+Outros!$B$4/100),"")</f>
        <v>17.365556303333335</v>
      </c>
      <c r="P31" s="87">
        <f t="shared" si="1"/>
        <v>26.048334455000003</v>
      </c>
      <c r="Q31" s="50">
        <f>IFERROR(P31/(1-Outros!$B$6-Outros!$B$7)+Outros!$B$8,"")</f>
        <v>36.560418068750003</v>
      </c>
      <c r="R31" s="87">
        <v>80</v>
      </c>
      <c r="S31" s="49">
        <v>50</v>
      </c>
      <c r="T31" s="45">
        <v>100</v>
      </c>
      <c r="U31" s="39">
        <f t="shared" si="2"/>
        <v>4.7585255694230142</v>
      </c>
    </row>
    <row r="32" spans="1:22">
      <c r="A32" s="124">
        <v>46083</v>
      </c>
      <c r="B32" s="125" t="s">
        <v>51</v>
      </c>
      <c r="C32" s="42" t="s">
        <v>26</v>
      </c>
      <c r="D32" s="42" t="s">
        <v>27</v>
      </c>
      <c r="E32" s="43">
        <v>120.22</v>
      </c>
      <c r="F32" s="117">
        <v>0.38263888888888886</v>
      </c>
      <c r="G32" s="44">
        <v>0</v>
      </c>
      <c r="H32" s="49">
        <v>0</v>
      </c>
      <c r="I32" s="49">
        <v>0</v>
      </c>
      <c r="J32" s="49">
        <f>IFERROR(E32/1000*VLOOKUP(D32,Filamentos!A$2:I$96,9,FALSE),"")</f>
        <v>12.021999999999998</v>
      </c>
      <c r="K32" s="50">
        <f>IFERROR(F32*24*VLOOKUP(C32,Impressoras!A$2:G$100,6,FALSE)*Outros!$B$2,"")</f>
        <v>1.18465</v>
      </c>
      <c r="L32" s="50">
        <f>IFERROR(F32*24*VLOOKUP(C32,Impressoras!A$2:G$100,7,FALSE),"")</f>
        <v>5.3041004833333334</v>
      </c>
      <c r="M32" s="49">
        <f>IFERROR(G32*24*Outros!$B$3,"")</f>
        <v>0</v>
      </c>
      <c r="N32" s="49">
        <f t="shared" ref="N32:N41" si="3">IFERROR(SUM(J32:M32),"")</f>
        <v>18.510750483333332</v>
      </c>
      <c r="O32" s="85">
        <f>IFERROR(N32*(1+Outros!$B$4/100),"")</f>
        <v>20.361825531666668</v>
      </c>
      <c r="P32" s="87">
        <f t="shared" ref="P32:P41" si="4">IFERROR(O32*Q$5,"")</f>
        <v>30.542738297500001</v>
      </c>
      <c r="Q32" s="50">
        <f>IFERROR(P32/(1-Outros!$B$6-Outros!$B$7)+Outros!$B$8,"")</f>
        <v>42.178422871875</v>
      </c>
      <c r="R32" s="87">
        <v>0</v>
      </c>
      <c r="S32" s="49">
        <v>0</v>
      </c>
      <c r="T32" s="45">
        <v>0</v>
      </c>
      <c r="U32" s="39" t="str">
        <f>IF(OR(T32="",T32=0),"",(T32-O32)/O32)</f>
        <v/>
      </c>
    </row>
    <row r="33" spans="1:21">
      <c r="A33" s="124"/>
      <c r="B33" s="125" t="s">
        <v>52</v>
      </c>
      <c r="C33" s="42" t="s">
        <v>26</v>
      </c>
      <c r="D33" s="42" t="s">
        <v>27</v>
      </c>
      <c r="E33" s="43">
        <v>5</v>
      </c>
      <c r="F33" s="117">
        <v>6.9444444444444441E-3</v>
      </c>
      <c r="G33" s="44">
        <v>0</v>
      </c>
      <c r="H33" s="49">
        <v>0.27</v>
      </c>
      <c r="I33" s="49">
        <v>0</v>
      </c>
      <c r="J33" s="49">
        <f>IFERROR(E33/1000*VLOOKUP(D33,Filamentos!A$2:I$96,9,FALSE),"")</f>
        <v>0.5</v>
      </c>
      <c r="K33" s="50">
        <f>IFERROR(F33*24*VLOOKUP(C33,Impressoras!A$2:G$100,6,FALSE)*Outros!$B$2,"")</f>
        <v>2.1499999999999998E-2</v>
      </c>
      <c r="L33" s="50">
        <f>IFERROR(F33*24*VLOOKUP(C33,Impressoras!A$2:G$100,7,FALSE),"")</f>
        <v>9.626316666666665E-2</v>
      </c>
      <c r="M33" s="49">
        <f>IFERROR(G33*24*Outros!$B$3,"")</f>
        <v>0</v>
      </c>
      <c r="N33" s="49">
        <f t="shared" si="3"/>
        <v>0.61776316666666664</v>
      </c>
      <c r="O33" s="85">
        <f>IFERROR(N33*(1+Outros!$B$4/100),"")</f>
        <v>0.67953948333333336</v>
      </c>
      <c r="P33" s="87">
        <f t="shared" si="4"/>
        <v>1.019309225</v>
      </c>
      <c r="Q33" s="50">
        <f>IFERROR(P33/(1-Outros!$B$6-Outros!$B$7)+Outros!$B$8,"")</f>
        <v>5.2741365312499999</v>
      </c>
      <c r="R33" s="87">
        <v>5</v>
      </c>
      <c r="S33" s="49">
        <v>3</v>
      </c>
      <c r="T33" s="45">
        <v>0</v>
      </c>
      <c r="U33" s="39" t="str">
        <f>IF(OR(T33="",T33=0),"",(T33-O33)/O33)</f>
        <v/>
      </c>
    </row>
    <row r="34" spans="1:21">
      <c r="A34" s="124"/>
      <c r="B34" s="125" t="s">
        <v>53</v>
      </c>
      <c r="C34" s="42" t="s">
        <v>26</v>
      </c>
      <c r="D34" s="42" t="s">
        <v>27</v>
      </c>
      <c r="E34" s="43">
        <v>22.41</v>
      </c>
      <c r="F34" s="117">
        <v>6.6666666666666666E-2</v>
      </c>
      <c r="G34" s="44">
        <v>0</v>
      </c>
      <c r="H34" s="49">
        <f>0.27*50</f>
        <v>13.5</v>
      </c>
      <c r="I34" s="49">
        <v>1</v>
      </c>
      <c r="J34" s="49">
        <f>IFERROR(E34/1000*VLOOKUP(D34,Filamentos!A$2:I$96,9,FALSE),"")</f>
        <v>2.2410000000000001</v>
      </c>
      <c r="K34" s="50">
        <f>IFERROR(F34*24*VLOOKUP(C34,Impressoras!A$2:G$100,6,FALSE)*Outros!$B$2,"")</f>
        <v>0.2064</v>
      </c>
      <c r="L34" s="50">
        <f>IFERROR(F34*24*VLOOKUP(C34,Impressoras!A$2:G$100,7,FALSE),"")</f>
        <v>0.92412640000000001</v>
      </c>
      <c r="M34" s="49">
        <f>IFERROR(G34*24*Outros!$B$3,"")</f>
        <v>0</v>
      </c>
      <c r="N34" s="49">
        <f t="shared" si="3"/>
        <v>3.3715264</v>
      </c>
      <c r="O34" s="85">
        <f>IFERROR(N34*(1+Outros!$B$4/100),"")</f>
        <v>3.7086790400000003</v>
      </c>
      <c r="P34" s="87">
        <f t="shared" si="4"/>
        <v>5.5630185600000006</v>
      </c>
      <c r="Q34" s="50">
        <f>IFERROR(P34/(1-Outros!$B$6-Outros!$B$7)+Outros!$B$8,"")</f>
        <v>10.953773200000001</v>
      </c>
      <c r="R34" s="87">
        <v>7</v>
      </c>
      <c r="S34" s="49">
        <v>5</v>
      </c>
      <c r="T34" s="45">
        <v>0</v>
      </c>
      <c r="U34" s="39" t="str">
        <f>IF(OR(T34="",T34=0),"",(T34-O34)/O34)</f>
        <v/>
      </c>
    </row>
    <row r="35" spans="1:21">
      <c r="A35" s="124"/>
      <c r="B35" s="125" t="s">
        <v>54</v>
      </c>
      <c r="C35" s="42" t="s">
        <v>26</v>
      </c>
      <c r="D35" s="42" t="s">
        <v>27</v>
      </c>
      <c r="E35" s="43">
        <v>44.3</v>
      </c>
      <c r="F35" s="117">
        <v>0.12708333333333333</v>
      </c>
      <c r="G35" s="44">
        <v>0</v>
      </c>
      <c r="H35" s="49">
        <f>0.27*100</f>
        <v>27</v>
      </c>
      <c r="I35" s="49">
        <v>1.5</v>
      </c>
      <c r="J35" s="49">
        <f>IFERROR(E35/1000*VLOOKUP(D35,Filamentos!A$2:I$96,9,FALSE),"")</f>
        <v>4.43</v>
      </c>
      <c r="K35" s="50">
        <f>IFERROR(F35*24*VLOOKUP(C35,Impressoras!A$2:G$100,6,FALSE)*Outros!$B$2,"")</f>
        <v>0.39344999999999997</v>
      </c>
      <c r="L35" s="50">
        <f>IFERROR(F35*24*VLOOKUP(C35,Impressoras!A$2:G$100,7,FALSE),"")</f>
        <v>1.7616159499999997</v>
      </c>
      <c r="M35" s="49">
        <f>IFERROR(G35*24*Outros!$B$3,"")</f>
        <v>0</v>
      </c>
      <c r="N35" s="49">
        <f t="shared" si="3"/>
        <v>6.5850659499999988</v>
      </c>
      <c r="O35" s="85">
        <f>IFERROR(N35*(1+Outros!$B$4/100),"")</f>
        <v>7.2435725449999993</v>
      </c>
      <c r="P35" s="87">
        <f t="shared" si="4"/>
        <v>10.865358817499999</v>
      </c>
      <c r="Q35" s="50">
        <f>IFERROR(P35/(1-Outros!$B$6-Outros!$B$7)+Outros!$B$8,"")</f>
        <v>17.581698521874998</v>
      </c>
      <c r="R35" s="87">
        <v>7</v>
      </c>
      <c r="S35" s="49">
        <v>5</v>
      </c>
      <c r="T35" s="45">
        <v>0</v>
      </c>
      <c r="U35" s="39" t="str">
        <f t="shared" ref="U35:U36" si="5">IF(OR(T35="",T35=0),"",(T35-O35)/O35)</f>
        <v/>
      </c>
    </row>
    <row r="36" spans="1:21">
      <c r="A36" s="124"/>
      <c r="B36" s="125" t="s">
        <v>55</v>
      </c>
      <c r="C36" s="42" t="s">
        <v>26</v>
      </c>
      <c r="D36" s="42" t="s">
        <v>27</v>
      </c>
      <c r="E36" s="43">
        <v>57.89</v>
      </c>
      <c r="F36" s="117">
        <v>0.16458333333333333</v>
      </c>
      <c r="G36" s="44">
        <v>0</v>
      </c>
      <c r="H36" s="49">
        <f>0.27*131</f>
        <v>35.370000000000005</v>
      </c>
      <c r="I36" s="49">
        <v>1.5</v>
      </c>
      <c r="J36" s="49">
        <f>IFERROR(E36/1000*VLOOKUP(D36,Filamentos!A$2:I$96,9,FALSE),"")</f>
        <v>5.7890000000000006</v>
      </c>
      <c r="K36" s="50">
        <f>IFERROR(F36*24*VLOOKUP(C36,Impressoras!A$2:G$100,6,FALSE)*Outros!$B$2,"")</f>
        <v>0.50955000000000006</v>
      </c>
      <c r="L36" s="50">
        <f>IFERROR(F36*24*VLOOKUP(C36,Impressoras!A$2:G$100,7,FALSE),"")</f>
        <v>2.2814370500000001</v>
      </c>
      <c r="M36" s="49">
        <f>IFERROR(G36*24*Outros!$B$3,"")</f>
        <v>0</v>
      </c>
      <c r="N36" s="49">
        <f t="shared" si="3"/>
        <v>8.5799870499999997</v>
      </c>
      <c r="O36" s="85">
        <f>IFERROR(N36*(1+Outros!$B$4/100),"")</f>
        <v>9.4379857549999997</v>
      </c>
      <c r="P36" s="87">
        <f t="shared" si="4"/>
        <v>14.1569786325</v>
      </c>
      <c r="Q36" s="50">
        <f>IFERROR(P36/(1-Outros!$B$6-Outros!$B$7)+Outros!$B$8,"")</f>
        <v>21.696223290624999</v>
      </c>
      <c r="R36" s="87">
        <v>2.5</v>
      </c>
      <c r="S36" s="49">
        <v>2</v>
      </c>
      <c r="T36" s="45">
        <v>230</v>
      </c>
      <c r="U36" s="39">
        <f t="shared" si="5"/>
        <v>23.369606605747627</v>
      </c>
    </row>
    <row r="37" spans="1:21">
      <c r="A37" s="124"/>
      <c r="B37" s="125" t="s">
        <v>56</v>
      </c>
      <c r="C37" s="42" t="s">
        <v>26</v>
      </c>
      <c r="D37" s="42" t="s">
        <v>57</v>
      </c>
      <c r="E37" s="43">
        <v>7.28</v>
      </c>
      <c r="F37" s="117">
        <v>2.4305555555555556E-2</v>
      </c>
      <c r="G37" s="44">
        <v>0</v>
      </c>
      <c r="H37" s="49">
        <v>0.27</v>
      </c>
      <c r="I37" s="49">
        <v>0</v>
      </c>
      <c r="J37" s="49">
        <f>IFERROR(E37/1000*VLOOKUP(D37,Filamentos!A$2:I$96,9,FALSE),"")</f>
        <v>0.54600000000000004</v>
      </c>
      <c r="K37" s="50">
        <f>IFERROR(F37*24*VLOOKUP(C37,Impressoras!A$2:G$100,6,FALSE)*Outros!$B$2,"")</f>
        <v>7.5250000000000011E-2</v>
      </c>
      <c r="L37" s="50">
        <f>IFERROR(F37*24*VLOOKUP(C37,Impressoras!A$2:G$100,7,FALSE),"")</f>
        <v>0.33692108333333332</v>
      </c>
      <c r="M37" s="49">
        <f>IFERROR(G37*24*Outros!$B$3,"")</f>
        <v>0</v>
      </c>
      <c r="N37" s="49">
        <f t="shared" ref="N37:N40" si="6">IFERROR(SUM(J37:M37),"")</f>
        <v>0.95817108333333345</v>
      </c>
      <c r="O37" s="85">
        <f>IFERROR(N37*(1+Outros!$B$4/100),"")</f>
        <v>1.0539881916666669</v>
      </c>
      <c r="P37" s="87">
        <f>IFERROR(O37*Q$5,"")</f>
        <v>1.5809822875000004</v>
      </c>
      <c r="Q37" s="50">
        <f>IFERROR(P37/(1-Outros!$B$6-Outros!$B$7)+Outros!$B$8,"")</f>
        <v>5.9762278593750002</v>
      </c>
      <c r="R37" s="87">
        <v>5</v>
      </c>
      <c r="S37" s="49">
        <v>3</v>
      </c>
      <c r="T37" s="45">
        <v>0</v>
      </c>
      <c r="U37" s="39" t="str">
        <f>IF(OR(T37="",T37=0),"",(T37-O37)/O37)</f>
        <v/>
      </c>
    </row>
    <row r="38" spans="1:21">
      <c r="A38" s="124"/>
      <c r="B38" s="125" t="s">
        <v>58</v>
      </c>
      <c r="C38" s="42" t="s">
        <v>26</v>
      </c>
      <c r="D38" s="42" t="s">
        <v>57</v>
      </c>
      <c r="E38" s="43">
        <v>77.7</v>
      </c>
      <c r="F38" s="117">
        <v>0.16458333333333333</v>
      </c>
      <c r="G38" s="44">
        <v>0</v>
      </c>
      <c r="H38" s="49">
        <f>0.27*50</f>
        <v>13.5</v>
      </c>
      <c r="I38" s="49">
        <v>1</v>
      </c>
      <c r="J38" s="49">
        <f>IFERROR(E38/1000*VLOOKUP(D38,Filamentos!A$2:I$96,9,FALSE),"")</f>
        <v>5.8275000000000006</v>
      </c>
      <c r="K38" s="50">
        <f>IFERROR(F38*24*VLOOKUP(C38,Impressoras!A$2:G$100,6,FALSE)*Outros!$B$2,"")</f>
        <v>0.50955000000000006</v>
      </c>
      <c r="L38" s="50">
        <f>IFERROR(F38*24*VLOOKUP(C38,Impressoras!A$2:G$100,7,FALSE),"")</f>
        <v>2.2814370500000001</v>
      </c>
      <c r="M38" s="49">
        <f>IFERROR(G38*24*Outros!$B$3,"")</f>
        <v>0</v>
      </c>
      <c r="N38" s="49">
        <f t="shared" si="6"/>
        <v>8.6184870500000006</v>
      </c>
      <c r="O38" s="85">
        <f>IFERROR(N38*(1+Outros!$B$4/100),"")</f>
        <v>9.4803357550000023</v>
      </c>
      <c r="P38" s="87">
        <f>IFERROR(O38*Q$5,"")</f>
        <v>14.220503632500003</v>
      </c>
      <c r="Q38" s="50">
        <f>IFERROR(P38/(1-Outros!$B$6-Outros!$B$7)+Outros!$B$8,"")</f>
        <v>21.775629540625005</v>
      </c>
      <c r="R38" s="87">
        <v>7</v>
      </c>
      <c r="S38" s="49">
        <v>5</v>
      </c>
      <c r="T38" s="45">
        <v>0</v>
      </c>
      <c r="U38" s="39" t="str">
        <f>IF(OR(T38="",T38=0),"",(T38-O38)/O38)</f>
        <v/>
      </c>
    </row>
    <row r="39" spans="1:21">
      <c r="A39" s="124"/>
      <c r="B39" s="125" t="s">
        <v>59</v>
      </c>
      <c r="C39" s="42" t="s">
        <v>26</v>
      </c>
      <c r="D39" s="42" t="s">
        <v>57</v>
      </c>
      <c r="E39" s="43">
        <v>44.3</v>
      </c>
      <c r="F39" s="117">
        <v>0.12708333333333333</v>
      </c>
      <c r="G39" s="44">
        <v>0</v>
      </c>
      <c r="H39" s="49">
        <f>0.27*100</f>
        <v>27</v>
      </c>
      <c r="I39" s="49">
        <v>1.5</v>
      </c>
      <c r="J39" s="49">
        <f>IFERROR(E39/1000*VLOOKUP(D39,Filamentos!A$2:I$96,9,FALSE),"")</f>
        <v>3.3224999999999998</v>
      </c>
      <c r="K39" s="50">
        <f>IFERROR(F39*24*VLOOKUP(C39,Impressoras!A$2:G$100,6,FALSE)*Outros!$B$2,"")</f>
        <v>0.39344999999999997</v>
      </c>
      <c r="L39" s="50">
        <f>IFERROR(F39*24*VLOOKUP(C39,Impressoras!A$2:G$100,7,FALSE),"")</f>
        <v>1.7616159499999997</v>
      </c>
      <c r="M39" s="49">
        <f>IFERROR(G39*24*Outros!$B$3,"")</f>
        <v>0</v>
      </c>
      <c r="N39" s="49">
        <f t="shared" si="6"/>
        <v>5.4775659499999998</v>
      </c>
      <c r="O39" s="85">
        <f>IFERROR(N39*(1+Outros!$B$4/100),"")</f>
        <v>6.0253225449999999</v>
      </c>
      <c r="P39" s="87">
        <f>IFERROR(O39*Q$5,"")</f>
        <v>9.0379838174999989</v>
      </c>
      <c r="Q39" s="50">
        <f>IFERROR(P39/(1-Outros!$B$6-Outros!$B$7)+Outros!$B$8,"")</f>
        <v>15.297479771874999</v>
      </c>
      <c r="R39" s="87">
        <v>7</v>
      </c>
      <c r="S39" s="49">
        <v>5</v>
      </c>
      <c r="T39" s="45">
        <v>0</v>
      </c>
      <c r="U39" s="39" t="str">
        <f t="shared" ref="U39:U40" si="7">IF(OR(T39="",T39=0),"",(T39-O39)/O39)</f>
        <v/>
      </c>
    </row>
    <row r="40" spans="1:21">
      <c r="A40" s="124"/>
      <c r="B40" s="125" t="s">
        <v>60</v>
      </c>
      <c r="C40" s="42" t="s">
        <v>26</v>
      </c>
      <c r="D40" s="42" t="s">
        <v>57</v>
      </c>
      <c r="E40" s="43">
        <v>57.89</v>
      </c>
      <c r="F40" s="117">
        <v>0.16458333333333333</v>
      </c>
      <c r="G40" s="44">
        <v>0</v>
      </c>
      <c r="H40" s="49">
        <f>0.27*131</f>
        <v>35.370000000000005</v>
      </c>
      <c r="I40" s="49">
        <v>1.5</v>
      </c>
      <c r="J40" s="49">
        <f>IFERROR(E40/1000*VLOOKUP(D40,Filamentos!A$2:I$96,9,FALSE),"")</f>
        <v>4.3417500000000002</v>
      </c>
      <c r="K40" s="50">
        <f>IFERROR(F40*24*VLOOKUP(C40,Impressoras!A$2:G$100,6,FALSE)*Outros!$B$2,"")</f>
        <v>0.50955000000000006</v>
      </c>
      <c r="L40" s="50">
        <f>IFERROR(F40*24*VLOOKUP(C40,Impressoras!A$2:G$100,7,FALSE),"")</f>
        <v>2.2814370500000001</v>
      </c>
      <c r="M40" s="49">
        <f>IFERROR(G40*24*Outros!$B$3,"")</f>
        <v>0</v>
      </c>
      <c r="N40" s="49">
        <f t="shared" si="6"/>
        <v>7.1327370500000002</v>
      </c>
      <c r="O40" s="85">
        <f>IFERROR(N40*(1+Outros!$B$4/100),"")</f>
        <v>7.8460107550000009</v>
      </c>
      <c r="P40" s="87">
        <f>IFERROR(O40*Q$5,"")</f>
        <v>11.769016132500001</v>
      </c>
      <c r="Q40" s="50">
        <f>IFERROR(P40/(1-Outros!$B$6-Outros!$B$7)+Outros!$B$8,"")</f>
        <v>18.711270165625002</v>
      </c>
      <c r="R40" s="87">
        <v>2.5</v>
      </c>
      <c r="S40" s="49">
        <v>2</v>
      </c>
      <c r="T40" s="45">
        <v>230</v>
      </c>
      <c r="U40" s="39">
        <f t="shared" si="7"/>
        <v>28.314260097518815</v>
      </c>
    </row>
    <row r="41" spans="1:21">
      <c r="A41" s="124"/>
      <c r="B41" s="125" t="s">
        <v>61</v>
      </c>
      <c r="C41" s="42" t="s">
        <v>26</v>
      </c>
      <c r="D41" s="42" t="s">
        <v>27</v>
      </c>
      <c r="E41" s="43">
        <v>177.83</v>
      </c>
      <c r="F41" s="117">
        <v>0.41597222222222224</v>
      </c>
      <c r="G41" s="44">
        <v>0</v>
      </c>
      <c r="H41" s="49">
        <v>0</v>
      </c>
      <c r="I41" s="49">
        <v>0</v>
      </c>
      <c r="J41" s="49">
        <f>IFERROR(E41/1000*VLOOKUP(D41,Filamentos!A$2:I$96,9,FALSE),"")</f>
        <v>17.783000000000001</v>
      </c>
      <c r="K41" s="50">
        <f>IFERROR(F41*24*VLOOKUP(C41,Impressoras!A$2:G$100,6,FALSE)*Outros!$B$2,"")</f>
        <v>1.2878499999999999</v>
      </c>
      <c r="L41" s="50">
        <f>IFERROR(F41*24*VLOOKUP(C41,Impressoras!A$2:G$100,7,FALSE),"")</f>
        <v>5.7661636833333336</v>
      </c>
      <c r="M41" s="49">
        <f>IFERROR(G41*24*Outros!$B$3,"")</f>
        <v>0</v>
      </c>
      <c r="N41" s="49">
        <f t="shared" si="3"/>
        <v>24.837013683333332</v>
      </c>
      <c r="O41" s="85">
        <f>IFERROR(N41*(1+Outros!$B$4/100),"")</f>
        <v>27.320715051666667</v>
      </c>
      <c r="P41" s="87">
        <f t="shared" si="4"/>
        <v>40.981072577500001</v>
      </c>
      <c r="Q41" s="50">
        <f>IFERROR(P41/(1-Outros!$B$6-Outros!$B$7)+Outros!$B$8,"")</f>
        <v>55.226340721874998</v>
      </c>
      <c r="R41" s="87">
        <v>60</v>
      </c>
      <c r="S41" s="49">
        <v>70</v>
      </c>
      <c r="T41" s="45">
        <v>65</v>
      </c>
      <c r="U41" s="39">
        <f t="shared" ref="U41" si="8">IF(OR(T41="",T41=0),"",(T41-O41)/O41)</f>
        <v>1.3791471005454066</v>
      </c>
    </row>
    <row r="42" spans="1:21">
      <c r="A42" s="124"/>
      <c r="B42" s="125"/>
      <c r="C42" s="42"/>
      <c r="D42" s="42"/>
      <c r="E42" s="43"/>
      <c r="F42" s="117"/>
      <c r="G42" s="44"/>
      <c r="H42" s="49"/>
      <c r="I42" s="49"/>
      <c r="J42" s="49"/>
      <c r="K42" s="50"/>
      <c r="L42" s="50"/>
      <c r="M42" s="49"/>
      <c r="N42" s="49"/>
      <c r="O42" s="85"/>
      <c r="P42" s="87"/>
      <c r="Q42" s="50"/>
      <c r="R42" s="87"/>
      <c r="S42" s="49"/>
      <c r="T42" s="45"/>
      <c r="U42" s="39"/>
    </row>
    <row r="43" spans="1:21">
      <c r="A43" s="124"/>
      <c r="B43" s="125"/>
      <c r="C43" s="42"/>
      <c r="D43" s="42"/>
      <c r="E43" s="43"/>
      <c r="F43" s="117"/>
      <c r="G43" s="44"/>
      <c r="H43" s="49"/>
      <c r="I43" s="49"/>
      <c r="J43" s="49"/>
      <c r="K43" s="50"/>
      <c r="L43" s="50"/>
      <c r="M43" s="49"/>
      <c r="N43" s="49"/>
      <c r="O43" s="85"/>
      <c r="P43" s="87"/>
      <c r="Q43" s="50"/>
      <c r="R43" s="87"/>
      <c r="S43" s="49"/>
      <c r="T43" s="45"/>
      <c r="U43" s="39"/>
    </row>
    <row r="44" spans="1:21">
      <c r="A44" s="124"/>
      <c r="B44" s="125"/>
      <c r="C44" s="42"/>
      <c r="D44" s="42"/>
      <c r="E44" s="43"/>
      <c r="F44" s="117"/>
      <c r="G44" s="44"/>
      <c r="H44" s="49"/>
      <c r="I44" s="49"/>
      <c r="J44" s="49"/>
      <c r="K44" s="50"/>
      <c r="L44" s="50"/>
      <c r="M44" s="49"/>
      <c r="N44" s="49"/>
      <c r="O44" s="85"/>
      <c r="P44" s="87"/>
      <c r="Q44" s="50"/>
      <c r="R44" s="87"/>
      <c r="S44" s="49"/>
      <c r="T44" s="45"/>
      <c r="U44" s="39"/>
    </row>
    <row r="45" spans="1:21">
      <c r="A45" s="124"/>
      <c r="B45" s="125"/>
      <c r="C45" s="42"/>
      <c r="D45" s="42"/>
      <c r="E45" s="43"/>
      <c r="F45" s="117"/>
      <c r="G45" s="44"/>
      <c r="H45" s="49"/>
      <c r="I45" s="49"/>
      <c r="J45" s="49"/>
      <c r="K45" s="50"/>
      <c r="L45" s="50"/>
      <c r="M45" s="49"/>
      <c r="N45" s="49"/>
      <c r="O45" s="85"/>
      <c r="P45" s="87"/>
      <c r="Q45" s="50"/>
      <c r="R45" s="87"/>
      <c r="S45" s="49"/>
      <c r="T45" s="45"/>
      <c r="U45" s="39"/>
    </row>
    <row r="46" spans="1:21">
      <c r="A46" s="124"/>
      <c r="B46" s="125"/>
      <c r="C46" s="42"/>
      <c r="D46" s="42"/>
      <c r="E46" s="43"/>
      <c r="F46" s="117"/>
      <c r="G46" s="44"/>
      <c r="H46" s="49"/>
      <c r="I46" s="49"/>
      <c r="J46" s="49"/>
      <c r="K46" s="50"/>
      <c r="L46" s="50"/>
      <c r="M46" s="49"/>
      <c r="N46" s="49"/>
      <c r="O46" s="85"/>
      <c r="P46" s="87"/>
      <c r="Q46" s="50"/>
      <c r="R46" s="87"/>
      <c r="S46" s="49"/>
      <c r="T46" s="45"/>
      <c r="U46" s="39"/>
    </row>
    <row r="47" spans="1:21">
      <c r="A47" s="124"/>
      <c r="B47" s="125"/>
      <c r="C47" s="42"/>
      <c r="D47" s="42"/>
      <c r="E47" s="43"/>
      <c r="F47" s="117"/>
      <c r="G47" s="44"/>
      <c r="H47" s="49"/>
      <c r="I47" s="49"/>
      <c r="J47" s="49"/>
      <c r="K47" s="50"/>
      <c r="L47" s="50"/>
      <c r="M47" s="49"/>
      <c r="N47" s="49"/>
      <c r="O47" s="85"/>
      <c r="P47" s="87"/>
      <c r="Q47" s="50"/>
      <c r="R47" s="87"/>
      <c r="S47" s="49"/>
      <c r="T47" s="45"/>
      <c r="U47" s="39"/>
    </row>
    <row r="48" spans="1:21">
      <c r="A48" s="124"/>
      <c r="B48" s="125"/>
      <c r="C48" s="42"/>
      <c r="D48" s="42"/>
      <c r="E48" s="43"/>
      <c r="F48" s="117"/>
      <c r="G48" s="44"/>
      <c r="H48" s="49"/>
      <c r="I48" s="49"/>
      <c r="J48" s="49"/>
      <c r="K48" s="50"/>
      <c r="L48" s="50"/>
      <c r="M48" s="49"/>
      <c r="N48" s="49"/>
      <c r="O48" s="85"/>
      <c r="P48" s="87"/>
      <c r="Q48" s="50"/>
      <c r="R48" s="87"/>
      <c r="S48" s="49"/>
      <c r="T48" s="45"/>
      <c r="U48" s="39"/>
    </row>
    <row r="49" spans="1:21">
      <c r="A49" s="124"/>
      <c r="B49" s="125"/>
      <c r="C49" s="42"/>
      <c r="D49" s="42"/>
      <c r="E49" s="43"/>
      <c r="F49" s="117"/>
      <c r="G49" s="44"/>
      <c r="H49" s="49"/>
      <c r="I49" s="49"/>
      <c r="J49" s="49"/>
      <c r="K49" s="50"/>
      <c r="L49" s="50"/>
      <c r="M49" s="49"/>
      <c r="N49" s="49"/>
      <c r="O49" s="85"/>
      <c r="P49" s="87"/>
      <c r="Q49" s="50"/>
      <c r="R49" s="87"/>
      <c r="S49" s="49"/>
      <c r="T49" s="45"/>
      <c r="U49" s="39"/>
    </row>
    <row r="50" spans="1:21">
      <c r="A50" s="124"/>
      <c r="B50" s="125"/>
      <c r="C50" s="42"/>
      <c r="D50" s="42"/>
      <c r="E50" s="43"/>
      <c r="F50" s="117"/>
      <c r="G50" s="44"/>
      <c r="H50" s="49"/>
      <c r="I50" s="49"/>
      <c r="J50" s="49"/>
      <c r="K50" s="50"/>
      <c r="L50" s="50"/>
      <c r="M50" s="49"/>
      <c r="N50" s="49"/>
      <c r="O50" s="85"/>
      <c r="P50" s="87"/>
      <c r="Q50" s="50"/>
      <c r="R50" s="87"/>
      <c r="S50" s="49"/>
      <c r="T50" s="45"/>
      <c r="U50" s="39"/>
    </row>
    <row r="51" spans="1:21">
      <c r="A51" s="124"/>
      <c r="B51" s="125"/>
      <c r="C51" s="42"/>
      <c r="D51" s="42"/>
      <c r="E51" s="43"/>
      <c r="F51" s="117"/>
      <c r="G51" s="44"/>
      <c r="H51" s="49"/>
      <c r="I51" s="49"/>
      <c r="J51" s="49"/>
      <c r="K51" s="50"/>
      <c r="L51" s="50"/>
      <c r="M51" s="49"/>
      <c r="N51" s="49"/>
      <c r="O51" s="85"/>
      <c r="P51" s="87"/>
      <c r="Q51" s="50"/>
      <c r="R51" s="87"/>
      <c r="S51" s="49"/>
      <c r="T51" s="45"/>
      <c r="U51" s="39"/>
    </row>
    <row r="52" spans="1:21">
      <c r="A52" s="124"/>
      <c r="B52" s="125"/>
      <c r="C52" s="42"/>
      <c r="D52" s="42"/>
      <c r="E52" s="43"/>
      <c r="F52" s="117"/>
      <c r="G52" s="44"/>
      <c r="H52" s="49"/>
      <c r="I52" s="49"/>
      <c r="J52" s="49"/>
      <c r="K52" s="50"/>
      <c r="L52" s="50"/>
      <c r="M52" s="49"/>
      <c r="N52" s="49"/>
      <c r="O52" s="85"/>
      <c r="P52" s="87"/>
      <c r="Q52" s="50"/>
      <c r="R52" s="87"/>
      <c r="S52" s="49"/>
      <c r="T52" s="45"/>
      <c r="U52" s="39"/>
    </row>
    <row r="53" spans="1:21">
      <c r="A53" s="124"/>
      <c r="B53" s="125"/>
      <c r="C53" s="42"/>
      <c r="D53" s="42"/>
      <c r="E53" s="43"/>
      <c r="F53" s="117"/>
      <c r="G53" s="44"/>
      <c r="H53" s="49"/>
      <c r="I53" s="49"/>
      <c r="J53" s="49"/>
      <c r="K53" s="50"/>
      <c r="L53" s="50"/>
      <c r="M53" s="49"/>
      <c r="N53" s="49"/>
      <c r="O53" s="85"/>
      <c r="P53" s="87"/>
      <c r="Q53" s="50"/>
      <c r="R53" s="87"/>
      <c r="S53" s="49"/>
      <c r="T53" s="45"/>
      <c r="U53" s="39"/>
    </row>
    <row r="54" spans="1:21">
      <c r="A54" s="124"/>
      <c r="B54" s="125"/>
      <c r="C54" s="42"/>
      <c r="D54" s="42"/>
      <c r="E54" s="43"/>
      <c r="F54" s="117"/>
      <c r="G54" s="44"/>
      <c r="H54" s="49"/>
      <c r="I54" s="49"/>
      <c r="J54" s="49"/>
      <c r="K54" s="50"/>
      <c r="L54" s="50"/>
      <c r="M54" s="49"/>
      <c r="N54" s="49"/>
      <c r="O54" s="85"/>
      <c r="P54" s="87"/>
      <c r="Q54" s="50"/>
      <c r="R54" s="87"/>
      <c r="S54" s="49"/>
      <c r="T54" s="45"/>
      <c r="U54" s="39"/>
    </row>
    <row r="55" spans="1:21">
      <c r="A55" s="124"/>
      <c r="B55" s="125"/>
      <c r="C55" s="42"/>
      <c r="D55" s="42"/>
      <c r="E55" s="43"/>
      <c r="F55" s="117"/>
      <c r="G55" s="44"/>
      <c r="H55" s="49"/>
      <c r="I55" s="49"/>
      <c r="J55" s="49"/>
      <c r="K55" s="50"/>
      <c r="L55" s="50"/>
      <c r="M55" s="49"/>
      <c r="N55" s="49"/>
      <c r="O55" s="85"/>
      <c r="P55" s="87"/>
      <c r="Q55" s="50"/>
      <c r="R55" s="87"/>
      <c r="S55" s="49"/>
      <c r="T55" s="45"/>
      <c r="U55" s="39"/>
    </row>
    <row r="56" spans="1:21">
      <c r="A56" s="124"/>
      <c r="B56" s="125"/>
      <c r="C56" s="42"/>
      <c r="D56" s="42"/>
      <c r="E56" s="43"/>
      <c r="F56" s="117"/>
      <c r="G56" s="44"/>
      <c r="H56" s="49"/>
      <c r="I56" s="49"/>
      <c r="J56" s="49"/>
      <c r="K56" s="50"/>
      <c r="L56" s="50"/>
      <c r="M56" s="49"/>
      <c r="N56" s="49"/>
      <c r="O56" s="85"/>
      <c r="P56" s="87"/>
      <c r="Q56" s="50"/>
      <c r="R56" s="87"/>
      <c r="S56" s="49"/>
      <c r="T56" s="45"/>
      <c r="U56" s="39"/>
    </row>
    <row r="57" spans="1:21">
      <c r="A57" s="124"/>
      <c r="B57" s="125"/>
      <c r="C57" s="42"/>
      <c r="D57" s="42"/>
      <c r="E57" s="43"/>
      <c r="F57" s="117"/>
      <c r="G57" s="44"/>
      <c r="H57" s="49"/>
      <c r="I57" s="49"/>
      <c r="J57" s="49"/>
      <c r="K57" s="50"/>
      <c r="L57" s="50"/>
      <c r="M57" s="49"/>
      <c r="N57" s="49"/>
      <c r="O57" s="85"/>
      <c r="P57" s="87"/>
      <c r="Q57" s="50"/>
      <c r="R57" s="87"/>
      <c r="S57" s="49"/>
      <c r="T57" s="45"/>
      <c r="U57" s="39"/>
    </row>
    <row r="58" spans="1:21">
      <c r="A58" s="126"/>
      <c r="B58" s="43"/>
      <c r="C58" s="42"/>
      <c r="D58" s="42"/>
      <c r="E58" s="43"/>
      <c r="F58" s="117"/>
      <c r="G58" s="44"/>
      <c r="H58" s="49"/>
      <c r="I58" s="49"/>
      <c r="J58" s="49"/>
      <c r="K58" s="50"/>
      <c r="L58" s="50"/>
      <c r="M58" s="49"/>
      <c r="N58" s="49"/>
      <c r="O58" s="85"/>
      <c r="P58" s="87"/>
      <c r="Q58" s="50"/>
      <c r="R58" s="87"/>
      <c r="S58" s="49"/>
      <c r="T58" s="45"/>
      <c r="U58" s="39"/>
    </row>
    <row r="59" spans="1:21">
      <c r="A59" s="126"/>
      <c r="B59" s="43"/>
      <c r="C59" s="42"/>
      <c r="D59" s="42"/>
      <c r="E59" s="43"/>
      <c r="F59" s="117"/>
      <c r="G59" s="44"/>
      <c r="H59" s="49"/>
      <c r="I59" s="49"/>
      <c r="J59" s="49"/>
      <c r="K59" s="50"/>
      <c r="L59" s="50"/>
      <c r="M59" s="49"/>
      <c r="N59" s="49"/>
      <c r="O59" s="85"/>
      <c r="P59" s="87"/>
      <c r="Q59" s="50"/>
      <c r="R59" s="87"/>
      <c r="S59" s="49"/>
      <c r="T59" s="45"/>
      <c r="U59" s="39"/>
    </row>
    <row r="60" spans="1:21">
      <c r="A60" s="126"/>
      <c r="B60" s="43"/>
      <c r="C60" s="42"/>
      <c r="D60" s="42"/>
      <c r="E60" s="43"/>
      <c r="F60" s="117"/>
      <c r="G60" s="44"/>
      <c r="H60" s="49"/>
      <c r="I60" s="49"/>
      <c r="J60" s="49"/>
      <c r="K60" s="50"/>
      <c r="L60" s="50"/>
      <c r="M60" s="49"/>
      <c r="N60" s="49"/>
      <c r="O60" s="85"/>
      <c r="P60" s="87"/>
      <c r="Q60" s="50"/>
      <c r="R60" s="87"/>
      <c r="S60" s="49"/>
      <c r="T60" s="45"/>
      <c r="U60" s="39"/>
    </row>
    <row r="61" spans="1:21">
      <c r="A61" s="126"/>
      <c r="B61" s="43"/>
      <c r="C61" s="42"/>
      <c r="D61" s="42"/>
      <c r="E61" s="43"/>
      <c r="F61" s="117"/>
      <c r="G61" s="44"/>
      <c r="H61" s="49"/>
      <c r="I61" s="49"/>
      <c r="J61" s="49"/>
      <c r="K61" s="50"/>
      <c r="L61" s="50"/>
      <c r="M61" s="49"/>
      <c r="N61" s="49"/>
      <c r="O61" s="85"/>
      <c r="P61" s="87"/>
      <c r="Q61" s="50"/>
      <c r="R61" s="87"/>
      <c r="S61" s="49"/>
      <c r="T61" s="45"/>
      <c r="U61" s="39"/>
    </row>
    <row r="62" spans="1:21">
      <c r="A62" s="126"/>
      <c r="B62" s="43"/>
      <c r="C62" s="42"/>
      <c r="D62" s="42"/>
      <c r="E62" s="43"/>
      <c r="F62" s="117"/>
      <c r="G62" s="44"/>
      <c r="H62" s="49"/>
      <c r="I62" s="49"/>
      <c r="J62" s="49"/>
      <c r="K62" s="50"/>
      <c r="L62" s="50"/>
      <c r="M62" s="49"/>
      <c r="N62" s="49"/>
      <c r="O62" s="85"/>
      <c r="P62" s="87"/>
      <c r="Q62" s="50"/>
      <c r="R62" s="87"/>
      <c r="S62" s="49"/>
      <c r="T62" s="45"/>
      <c r="U62" s="39"/>
    </row>
    <row r="63" spans="1:21">
      <c r="A63" s="126"/>
      <c r="B63" s="43"/>
      <c r="C63" s="42"/>
      <c r="D63" s="42"/>
      <c r="E63" s="43"/>
      <c r="F63" s="117"/>
      <c r="G63" s="44"/>
      <c r="H63" s="49"/>
      <c r="I63" s="49"/>
      <c r="J63" s="49"/>
      <c r="K63" s="50"/>
      <c r="L63" s="50"/>
      <c r="M63" s="49"/>
      <c r="N63" s="49"/>
      <c r="O63" s="85"/>
      <c r="P63" s="87"/>
      <c r="Q63" s="50"/>
      <c r="R63" s="87"/>
      <c r="S63" s="49"/>
      <c r="T63" s="45"/>
      <c r="U63" s="39"/>
    </row>
    <row r="64" spans="1:21">
      <c r="A64" s="126"/>
      <c r="B64" s="43"/>
      <c r="C64" s="42"/>
      <c r="D64" s="42"/>
      <c r="E64" s="43"/>
      <c r="F64" s="117"/>
      <c r="G64" s="44"/>
      <c r="H64" s="49"/>
      <c r="I64" s="49"/>
      <c r="J64" s="49"/>
      <c r="K64" s="50"/>
      <c r="L64" s="50"/>
      <c r="M64" s="49"/>
      <c r="N64" s="49"/>
      <c r="O64" s="85"/>
      <c r="P64" s="87"/>
      <c r="Q64" s="50"/>
      <c r="R64" s="87"/>
      <c r="S64" s="49"/>
      <c r="T64" s="45"/>
      <c r="U64" s="39"/>
    </row>
    <row r="65" spans="1:21">
      <c r="A65" s="126"/>
      <c r="B65" s="43"/>
      <c r="C65" s="42"/>
      <c r="D65" s="42"/>
      <c r="E65" s="43"/>
      <c r="F65" s="117"/>
      <c r="G65" s="44"/>
      <c r="H65" s="49"/>
      <c r="I65" s="49"/>
      <c r="J65" s="49"/>
      <c r="K65" s="50"/>
      <c r="L65" s="50"/>
      <c r="M65" s="49"/>
      <c r="N65" s="49"/>
      <c r="O65" s="85"/>
      <c r="P65" s="87"/>
      <c r="Q65" s="50"/>
      <c r="R65" s="87"/>
      <c r="S65" s="49"/>
      <c r="T65" s="45"/>
      <c r="U65" s="39"/>
    </row>
    <row r="66" spans="1:21">
      <c r="A66" s="126"/>
      <c r="B66" s="43"/>
      <c r="C66" s="42"/>
      <c r="D66" s="42"/>
      <c r="E66" s="43"/>
      <c r="F66" s="117"/>
      <c r="G66" s="44"/>
      <c r="H66" s="49"/>
      <c r="I66" s="49"/>
      <c r="J66" s="49"/>
      <c r="K66" s="50"/>
      <c r="L66" s="50"/>
      <c r="M66" s="49"/>
      <c r="N66" s="49"/>
      <c r="O66" s="85"/>
      <c r="P66" s="87"/>
      <c r="Q66" s="50"/>
      <c r="R66" s="87"/>
      <c r="S66" s="49"/>
      <c r="T66" s="45"/>
      <c r="U66" s="39"/>
    </row>
    <row r="67" spans="1:21">
      <c r="A67" s="126"/>
      <c r="B67" s="43"/>
      <c r="C67" s="42"/>
      <c r="D67" s="42"/>
      <c r="E67" s="43"/>
      <c r="F67" s="117"/>
      <c r="G67" s="44"/>
      <c r="H67" s="49"/>
      <c r="I67" s="49"/>
      <c r="J67" s="49"/>
      <c r="K67" s="50"/>
      <c r="L67" s="50"/>
      <c r="M67" s="49"/>
      <c r="N67" s="49"/>
      <c r="O67" s="85"/>
      <c r="P67" s="87"/>
      <c r="Q67" s="50"/>
      <c r="R67" s="87"/>
      <c r="S67" s="49"/>
      <c r="T67" s="45"/>
      <c r="U67" s="39"/>
    </row>
    <row r="68" spans="1:21">
      <c r="A68" s="126"/>
      <c r="B68" s="43"/>
      <c r="C68" s="42"/>
      <c r="D68" s="42"/>
      <c r="E68" s="43"/>
      <c r="F68" s="117"/>
      <c r="G68" s="44"/>
      <c r="H68" s="49"/>
      <c r="I68" s="49"/>
      <c r="J68" s="49"/>
      <c r="K68" s="50"/>
      <c r="L68" s="50"/>
      <c r="M68" s="49"/>
      <c r="N68" s="49"/>
      <c r="O68" s="85"/>
      <c r="P68" s="87"/>
      <c r="Q68" s="50"/>
      <c r="R68" s="87"/>
      <c r="S68" s="49"/>
      <c r="T68" s="45"/>
      <c r="U68" s="39"/>
    </row>
    <row r="69" spans="1:21">
      <c r="A69" s="126"/>
      <c r="B69" s="43"/>
      <c r="C69" s="42"/>
      <c r="D69" s="42"/>
      <c r="E69" s="43"/>
      <c r="F69" s="117"/>
      <c r="G69" s="44"/>
      <c r="H69" s="49"/>
      <c r="I69" s="49"/>
      <c r="J69" s="49"/>
      <c r="K69" s="50"/>
      <c r="L69" s="50"/>
      <c r="M69" s="49"/>
      <c r="N69" s="49"/>
      <c r="O69" s="85"/>
      <c r="P69" s="87"/>
      <c r="Q69" s="50"/>
      <c r="R69" s="87"/>
      <c r="S69" s="49"/>
      <c r="T69" s="45"/>
      <c r="U69" s="39"/>
    </row>
    <row r="70" spans="1:21">
      <c r="A70" s="126"/>
      <c r="B70" s="43"/>
      <c r="C70" s="42"/>
      <c r="D70" s="42"/>
      <c r="E70" s="43"/>
      <c r="F70" s="117"/>
      <c r="G70" s="44"/>
      <c r="H70" s="49"/>
      <c r="I70" s="49"/>
      <c r="J70" s="49"/>
      <c r="K70" s="50"/>
      <c r="L70" s="50"/>
      <c r="M70" s="49"/>
      <c r="N70" s="49"/>
      <c r="O70" s="85"/>
      <c r="P70" s="87"/>
      <c r="Q70" s="50"/>
      <c r="R70" s="87"/>
      <c r="S70" s="49"/>
      <c r="T70" s="45"/>
      <c r="U70" s="39"/>
    </row>
    <row r="71" spans="1:21">
      <c r="A71" s="126"/>
      <c r="B71" s="43"/>
      <c r="C71" s="42"/>
      <c r="D71" s="42"/>
      <c r="E71" s="43"/>
      <c r="F71" s="117"/>
      <c r="G71" s="44"/>
      <c r="H71" s="49"/>
      <c r="I71" s="49"/>
      <c r="J71" s="49"/>
      <c r="K71" s="50"/>
      <c r="L71" s="50"/>
      <c r="M71" s="49"/>
      <c r="N71" s="49"/>
      <c r="O71" s="85"/>
      <c r="P71" s="87"/>
      <c r="Q71" s="50"/>
      <c r="R71" s="87"/>
      <c r="S71" s="49"/>
      <c r="T71" s="45"/>
      <c r="U71" s="39"/>
    </row>
    <row r="72" spans="1:21">
      <c r="A72" s="126"/>
      <c r="B72" s="43"/>
      <c r="C72" s="42"/>
      <c r="D72" s="42"/>
      <c r="E72" s="43"/>
      <c r="F72" s="117"/>
      <c r="G72" s="44"/>
      <c r="H72" s="49"/>
      <c r="I72" s="49"/>
      <c r="J72" s="49"/>
      <c r="K72" s="50"/>
      <c r="L72" s="50"/>
      <c r="M72" s="49"/>
      <c r="N72" s="49"/>
      <c r="O72" s="85"/>
      <c r="P72" s="87"/>
      <c r="Q72" s="50"/>
      <c r="R72" s="87"/>
      <c r="S72" s="49"/>
      <c r="T72" s="45"/>
      <c r="U72" s="39"/>
    </row>
    <row r="73" spans="1:21">
      <c r="A73" s="126"/>
      <c r="B73" s="43"/>
      <c r="C73" s="42"/>
      <c r="D73" s="42"/>
      <c r="E73" s="43"/>
      <c r="F73" s="117"/>
      <c r="G73" s="44"/>
      <c r="H73" s="49"/>
      <c r="I73" s="49"/>
      <c r="J73" s="49"/>
      <c r="K73" s="50"/>
      <c r="L73" s="50"/>
      <c r="M73" s="49"/>
      <c r="N73" s="49"/>
      <c r="O73" s="85"/>
      <c r="P73" s="87"/>
      <c r="Q73" s="50"/>
      <c r="R73" s="87"/>
      <c r="S73" s="49"/>
      <c r="T73" s="45"/>
      <c r="U73" s="39"/>
    </row>
    <row r="74" spans="1:21">
      <c r="A74" s="126"/>
      <c r="B74" s="43"/>
      <c r="C74" s="42"/>
      <c r="D74" s="42"/>
      <c r="E74" s="43"/>
      <c r="F74" s="117"/>
      <c r="G74" s="44"/>
      <c r="H74" s="49"/>
      <c r="I74" s="49"/>
      <c r="J74" s="49"/>
      <c r="K74" s="50"/>
      <c r="L74" s="50"/>
      <c r="M74" s="49"/>
      <c r="N74" s="49"/>
      <c r="O74" s="85"/>
      <c r="P74" s="87"/>
      <c r="Q74" s="50"/>
      <c r="R74" s="87"/>
      <c r="S74" s="49"/>
      <c r="T74" s="45"/>
      <c r="U74" s="39"/>
    </row>
    <row r="75" spans="1:21">
      <c r="A75" s="126"/>
      <c r="B75" s="43"/>
      <c r="C75" s="42"/>
      <c r="D75" s="42"/>
      <c r="E75" s="43"/>
      <c r="F75" s="117"/>
      <c r="G75" s="44"/>
      <c r="H75" s="49"/>
      <c r="I75" s="49"/>
      <c r="J75" s="49"/>
      <c r="K75" s="50"/>
      <c r="L75" s="50"/>
      <c r="M75" s="49"/>
      <c r="N75" s="49"/>
      <c r="O75" s="85"/>
      <c r="P75" s="87"/>
      <c r="Q75" s="50"/>
      <c r="R75" s="87"/>
      <c r="S75" s="49"/>
      <c r="T75" s="45"/>
      <c r="U75" s="39"/>
    </row>
    <row r="76" spans="1:21">
      <c r="A76" s="126"/>
      <c r="B76" s="43"/>
      <c r="C76" s="42"/>
      <c r="D76" s="42"/>
      <c r="E76" s="43"/>
      <c r="F76" s="117"/>
      <c r="G76" s="44"/>
      <c r="H76" s="49"/>
      <c r="I76" s="49"/>
      <c r="J76" s="49"/>
      <c r="K76" s="50"/>
      <c r="L76" s="50"/>
      <c r="M76" s="49"/>
      <c r="N76" s="49"/>
      <c r="O76" s="85"/>
      <c r="P76" s="87"/>
      <c r="Q76" s="50"/>
      <c r="R76" s="87"/>
      <c r="S76" s="49"/>
      <c r="T76" s="45"/>
      <c r="U76" s="39"/>
    </row>
    <row r="77" spans="1:21">
      <c r="A77" s="126"/>
      <c r="B77" s="43"/>
      <c r="C77" s="42"/>
      <c r="D77" s="42"/>
      <c r="E77" s="43"/>
      <c r="F77" s="117"/>
      <c r="G77" s="44"/>
      <c r="H77" s="49"/>
      <c r="I77" s="49"/>
      <c r="J77" s="49"/>
      <c r="K77" s="50"/>
      <c r="L77" s="50"/>
      <c r="M77" s="49"/>
      <c r="N77" s="49"/>
      <c r="O77" s="85"/>
      <c r="P77" s="87"/>
      <c r="Q77" s="50"/>
      <c r="R77" s="87"/>
      <c r="S77" s="49"/>
      <c r="T77" s="45"/>
      <c r="U77" s="39"/>
    </row>
    <row r="78" spans="1:21" ht="17" thickBot="1">
      <c r="A78" s="127"/>
      <c r="B78" s="128"/>
      <c r="C78" s="129"/>
      <c r="D78" s="129"/>
      <c r="E78" s="130"/>
      <c r="F78" s="131"/>
      <c r="G78" s="132"/>
      <c r="H78" s="133"/>
      <c r="I78" s="133"/>
      <c r="J78" s="133"/>
      <c r="K78" s="134"/>
      <c r="L78" s="134"/>
      <c r="M78" s="133"/>
      <c r="N78" s="133"/>
      <c r="O78" s="135"/>
      <c r="P78" s="136"/>
      <c r="Q78" s="134"/>
      <c r="R78" s="136"/>
      <c r="S78" s="133"/>
      <c r="T78" s="137"/>
      <c r="U78" s="138"/>
    </row>
    <row r="79" spans="1:21">
      <c r="H79" s="115"/>
    </row>
  </sheetData>
  <mergeCells count="10">
    <mergeCell ref="R5:S6"/>
    <mergeCell ref="A5:A7"/>
    <mergeCell ref="A1:C4"/>
    <mergeCell ref="U5:U7"/>
    <mergeCell ref="D1:U4"/>
    <mergeCell ref="B5:B7"/>
    <mergeCell ref="J5:O6"/>
    <mergeCell ref="C5:I6"/>
    <mergeCell ref="P6:Q6"/>
    <mergeCell ref="T5:T7"/>
  </mergeCells>
  <phoneticPr fontId="7" type="noConversion"/>
  <conditionalFormatting sqref="T8:T78">
    <cfRule type="expression" dxfId="5" priority="7" stopIfTrue="1">
      <formula>$T8&lt;=$O8</formula>
    </cfRule>
    <cfRule type="expression" dxfId="4" priority="8" stopIfTrue="1">
      <formula>AND($T8&gt;$O8,$T8&lt;$Q8)</formula>
    </cfRule>
    <cfRule type="expression" dxfId="3" priority="9" stopIfTrue="1">
      <formula>$T8&gt;=$Q8</formula>
    </cfRule>
  </conditionalFormatting>
  <conditionalFormatting sqref="U8:U78">
    <cfRule type="expression" dxfId="2" priority="1" stopIfTrue="1">
      <formula>AND($U8&lt;&gt;"",$U8&lt;=0)</formula>
    </cfRule>
    <cfRule type="expression" dxfId="1" priority="2" stopIfTrue="1">
      <formula>AND($U8&gt;0,$U8&lt;(($Q8-$O8)/$O8))</formula>
    </cfRule>
    <cfRule type="expression" dxfId="0" priority="3" stopIfTrue="1">
      <formula>$U8&gt;=(($Q8-$O8)/$O8)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D56DE56-EC12-174A-BD49-3AB23CD35CC9}">
          <x14:formula1>
            <xm:f>Impressoras!$A$2:$A$100</xm:f>
          </x14:formula1>
          <xm:sqref>C8:C78</xm:sqref>
        </x14:dataValidation>
        <x14:dataValidation type="list" allowBlank="1" showInputMessage="1" showErrorMessage="1" xr:uid="{983DD689-718C-4744-B3EC-771EE5DB598B}">
          <x14:formula1>
            <xm:f>Filamentos!$A$2:$A$996</xm:f>
          </x14:formula1>
          <xm:sqref>D8:D78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C6DA-D336-024E-A690-95D1F5631C99}">
  <dimension ref="A1:AA1000"/>
  <sheetViews>
    <sheetView zoomScale="120" zoomScaleNormal="120" workbookViewId="0">
      <selection activeCell="A9" sqref="A9"/>
    </sheetView>
  </sheetViews>
  <sheetFormatPr baseColWidth="10" defaultColWidth="10.83203125" defaultRowHeight="16"/>
  <cols>
    <col min="1" max="1" width="19.33203125" customWidth="1"/>
    <col min="2" max="2" width="12.1640625" bestFit="1" customWidth="1"/>
    <col min="3" max="3" width="12" bestFit="1" customWidth="1"/>
    <col min="4" max="4" width="12.6640625" customWidth="1"/>
  </cols>
  <sheetData>
    <row r="1" spans="1:27">
      <c r="A1" s="11" t="s">
        <v>62</v>
      </c>
      <c r="B1" s="11" t="s">
        <v>63</v>
      </c>
      <c r="C1" s="11" t="s">
        <v>64</v>
      </c>
      <c r="D1" s="11" t="s">
        <v>65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7" t="s">
        <v>66</v>
      </c>
      <c r="B2" s="9">
        <v>511</v>
      </c>
      <c r="C2" s="7">
        <v>600</v>
      </c>
      <c r="D2" s="14">
        <f>B2/C2</f>
        <v>0.85166666666666668</v>
      </c>
      <c r="E2" s="1"/>
      <c r="F2" s="2" t="s">
        <v>67</v>
      </c>
      <c r="G2" s="4">
        <v>8.6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7" t="s">
        <v>68</v>
      </c>
      <c r="B3" s="9">
        <v>949.68</v>
      </c>
      <c r="C3" s="7">
        <v>300</v>
      </c>
      <c r="D3" s="14">
        <f t="shared" ref="D3:D9" si="0">B3/C3</f>
        <v>3.1656</v>
      </c>
      <c r="E3" s="1"/>
      <c r="F3" s="2" t="s">
        <v>69</v>
      </c>
      <c r="G3" s="4">
        <v>4.93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7" t="s">
        <v>70</v>
      </c>
      <c r="B4" s="9">
        <v>699</v>
      </c>
      <c r="C4" s="7">
        <v>500</v>
      </c>
      <c r="D4" s="14">
        <f t="shared" si="0"/>
        <v>1.3979999999999999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7" t="s">
        <v>71</v>
      </c>
      <c r="B5" s="9">
        <v>29</v>
      </c>
      <c r="C5" s="7">
        <v>150</v>
      </c>
      <c r="D5" s="14">
        <f t="shared" si="0"/>
        <v>0.19333333333333333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7" t="s">
        <v>72</v>
      </c>
      <c r="B6" s="9">
        <v>20</v>
      </c>
      <c r="C6" s="7">
        <v>150</v>
      </c>
      <c r="D6" s="14">
        <f t="shared" si="0"/>
        <v>0.13333333333333333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7" t="s">
        <v>73</v>
      </c>
      <c r="B7" s="9">
        <v>0.96</v>
      </c>
      <c r="C7" s="7"/>
      <c r="D7" s="14">
        <v>0.96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7" t="s">
        <v>74</v>
      </c>
      <c r="B8" s="9">
        <v>13.5</v>
      </c>
      <c r="C8" s="7">
        <v>50</v>
      </c>
      <c r="D8" s="14">
        <f t="shared" si="0"/>
        <v>0.27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7" t="s">
        <v>75</v>
      </c>
      <c r="B9" s="9">
        <v>132.5</v>
      </c>
      <c r="C9" s="7">
        <v>5</v>
      </c>
      <c r="D9" s="14">
        <f t="shared" si="0"/>
        <v>26.5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7"/>
      <c r="B10" s="9"/>
      <c r="C10" s="7"/>
      <c r="D10" s="14" t="e">
        <f t="shared" ref="D10:D12" si="1">B10/C10</f>
        <v>#DIV/0!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7"/>
      <c r="B11" s="9"/>
      <c r="C11" s="7"/>
      <c r="D11" s="14" t="e">
        <f t="shared" si="1"/>
        <v>#DIV/0!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7"/>
      <c r="B12" s="9"/>
      <c r="C12" s="7"/>
      <c r="D12" s="14" t="e">
        <f t="shared" si="1"/>
        <v>#DIV/0!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2"/>
      <c r="B13" s="2"/>
      <c r="C13" s="2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76" t="s">
        <v>76</v>
      </c>
      <c r="B14" s="176"/>
      <c r="C14" s="176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7">
      <c r="A15" s="6" t="s">
        <v>77</v>
      </c>
      <c r="B15" s="6" t="s">
        <v>64</v>
      </c>
      <c r="C15" s="6" t="s">
        <v>63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7" t="s">
        <v>68</v>
      </c>
      <c r="B16" s="8">
        <v>1</v>
      </c>
      <c r="C16" s="9">
        <f>IFERROR(B16*VLOOKUP(A16,$A$2:$D$12,4,FALSE),0)</f>
        <v>3.1656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7" t="s">
        <v>66</v>
      </c>
      <c r="B17" s="8">
        <v>6</v>
      </c>
      <c r="C17" s="9">
        <f t="shared" ref="C17:C20" si="2">IFERROR(B17*VLOOKUP(A17,$A$2:$D$12,4,FALSE),0)</f>
        <v>5.1100000000000003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7" t="s">
        <v>71</v>
      </c>
      <c r="B18" s="8">
        <v>1</v>
      </c>
      <c r="C18" s="9">
        <f t="shared" si="2"/>
        <v>0.19333333333333333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7" t="s">
        <v>72</v>
      </c>
      <c r="B19" s="8">
        <v>1</v>
      </c>
      <c r="C19" s="9">
        <f t="shared" si="2"/>
        <v>0.13333333333333333</v>
      </c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7" t="s">
        <v>74</v>
      </c>
      <c r="B20" s="8">
        <v>1</v>
      </c>
      <c r="C20" s="9">
        <f t="shared" si="2"/>
        <v>0.27</v>
      </c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0" t="s">
        <v>78</v>
      </c>
      <c r="B21" s="11"/>
      <c r="C21" s="12">
        <v>8.6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2"/>
      <c r="B22" s="2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76" t="s">
        <v>79</v>
      </c>
      <c r="B23" s="176"/>
      <c r="C23" s="176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7">
      <c r="A24" s="6" t="s">
        <v>77</v>
      </c>
      <c r="B24" s="6" t="s">
        <v>64</v>
      </c>
      <c r="C24" s="6" t="s">
        <v>63</v>
      </c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7" t="s">
        <v>70</v>
      </c>
      <c r="B25" s="8">
        <v>1</v>
      </c>
      <c r="C25" s="14">
        <f>IFERROR(B25*VLOOKUP(A25,$A$2:$D$12,4,FALSE),0)</f>
        <v>1.3979999999999999</v>
      </c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7" t="s">
        <v>66</v>
      </c>
      <c r="B26" s="8">
        <v>5</v>
      </c>
      <c r="C26" s="14">
        <f t="shared" ref="C26:C29" si="3">IFERROR(B26*VLOOKUP(A26,$A$2:$D$12,4,FALSE),0)</f>
        <v>4.2583333333333337</v>
      </c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7" t="s">
        <v>71</v>
      </c>
      <c r="B27" s="8">
        <v>1</v>
      </c>
      <c r="C27" s="14">
        <f t="shared" si="3"/>
        <v>0.19333333333333333</v>
      </c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7" t="s">
        <v>72</v>
      </c>
      <c r="B28" s="8">
        <v>1</v>
      </c>
      <c r="C28" s="14">
        <f t="shared" si="3"/>
        <v>0.13333333333333333</v>
      </c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7"/>
      <c r="B29" s="8"/>
      <c r="C29" s="14">
        <f t="shared" si="3"/>
        <v>0</v>
      </c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0" t="s">
        <v>78</v>
      </c>
      <c r="B30" s="11"/>
      <c r="C30" s="13">
        <v>5.98</v>
      </c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4:C14"/>
    <mergeCell ref="A23:C23"/>
  </mergeCells>
  <dataValidations disablePrompts="1" count="2">
    <dataValidation type="list" allowBlank="1" showInputMessage="1" showErrorMessage="1" sqref="A25:A28 A16:A19" xr:uid="{1BC1702E-447D-B54C-86BA-ABBA314B2AD9}">
      <formula1>$A$2:$A$7</formula1>
    </dataValidation>
    <dataValidation type="list" allowBlank="1" showInputMessage="1" showErrorMessage="1" sqref="A20" xr:uid="{C74564F8-947F-D941-AD56-0CEC35E52C8E}">
      <formula1>$A$2:$A$9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15ED-5DC8-8A46-9D9B-2DF20CBBF516}">
  <dimension ref="A1:G26"/>
  <sheetViews>
    <sheetView zoomScale="110" zoomScaleNormal="110" workbookViewId="0">
      <selection activeCell="F2" sqref="F2"/>
    </sheetView>
  </sheetViews>
  <sheetFormatPr baseColWidth="10" defaultColWidth="10.83203125" defaultRowHeight="16"/>
  <cols>
    <col min="1" max="2" width="17" customWidth="1"/>
    <col min="3" max="3" width="14.6640625" customWidth="1"/>
    <col min="4" max="4" width="17.5" customWidth="1"/>
    <col min="5" max="5" width="19.33203125" customWidth="1"/>
    <col min="6" max="6" width="21.83203125" customWidth="1"/>
    <col min="7" max="7" width="14.6640625" customWidth="1"/>
  </cols>
  <sheetData>
    <row r="1" spans="1:7" ht="46" customHeight="1">
      <c r="A1" s="26" t="s">
        <v>10</v>
      </c>
      <c r="B1" s="26" t="s">
        <v>80</v>
      </c>
      <c r="C1" s="26" t="s">
        <v>81</v>
      </c>
      <c r="D1" s="26" t="s">
        <v>82</v>
      </c>
      <c r="E1" s="26" t="s">
        <v>83</v>
      </c>
      <c r="F1" s="26" t="s">
        <v>84</v>
      </c>
      <c r="G1" s="26" t="s">
        <v>85</v>
      </c>
    </row>
    <row r="2" spans="1:7">
      <c r="A2" s="27" t="s">
        <v>26</v>
      </c>
      <c r="B2" s="27" t="s">
        <v>86</v>
      </c>
      <c r="C2" s="28">
        <v>4775.79</v>
      </c>
      <c r="D2" s="29">
        <v>10000</v>
      </c>
      <c r="E2" s="29">
        <v>1000</v>
      </c>
      <c r="F2" s="8">
        <v>0.15</v>
      </c>
      <c r="G2" s="28">
        <f>(C2+E2)/D2</f>
        <v>0.57757899999999995</v>
      </c>
    </row>
    <row r="3" spans="1:7">
      <c r="A3" s="27" t="s">
        <v>87</v>
      </c>
      <c r="B3" s="27" t="s">
        <v>86</v>
      </c>
      <c r="C3" s="28">
        <v>22000</v>
      </c>
      <c r="D3" s="29">
        <v>25000</v>
      </c>
      <c r="E3" s="29">
        <v>3000</v>
      </c>
      <c r="F3" s="8">
        <v>0.3</v>
      </c>
      <c r="G3" s="28">
        <f>(C3+E3)/D3</f>
        <v>1</v>
      </c>
    </row>
    <row r="4" spans="1:7">
      <c r="A4" s="27"/>
      <c r="B4" s="27"/>
      <c r="C4" s="28"/>
      <c r="D4" s="29"/>
      <c r="E4" s="29"/>
      <c r="F4" s="8"/>
      <c r="G4" s="28"/>
    </row>
    <row r="5" spans="1:7">
      <c r="A5" s="27"/>
      <c r="B5" s="27"/>
      <c r="C5" s="28"/>
      <c r="D5" s="29"/>
      <c r="E5" s="29"/>
      <c r="F5" s="8"/>
      <c r="G5" s="28"/>
    </row>
    <row r="6" spans="1:7">
      <c r="A6" s="27"/>
      <c r="B6" s="27"/>
      <c r="C6" s="28"/>
      <c r="D6" s="29"/>
      <c r="E6" s="29"/>
      <c r="F6" s="8"/>
      <c r="G6" s="28"/>
    </row>
    <row r="7" spans="1:7">
      <c r="A7" s="27"/>
      <c r="B7" s="27"/>
      <c r="C7" s="28"/>
      <c r="D7" s="29"/>
      <c r="E7" s="29"/>
      <c r="F7" s="8"/>
      <c r="G7" s="28"/>
    </row>
    <row r="8" spans="1:7">
      <c r="A8" s="27"/>
      <c r="B8" s="27"/>
      <c r="C8" s="28"/>
      <c r="D8" s="29"/>
      <c r="E8" s="29"/>
      <c r="F8" s="8"/>
      <c r="G8" s="28"/>
    </row>
    <row r="9" spans="1:7">
      <c r="A9" s="27"/>
      <c r="B9" s="27"/>
      <c r="C9" s="28"/>
      <c r="D9" s="29"/>
      <c r="E9" s="29"/>
      <c r="F9" s="8"/>
      <c r="G9" s="28"/>
    </row>
    <row r="10" spans="1:7">
      <c r="A10" s="27"/>
      <c r="B10" s="27"/>
      <c r="C10" s="28"/>
      <c r="D10" s="29"/>
      <c r="E10" s="29"/>
      <c r="F10" s="8"/>
      <c r="G10" s="28"/>
    </row>
    <row r="11" spans="1:7">
      <c r="A11" s="27"/>
      <c r="B11" s="27"/>
      <c r="C11" s="28"/>
      <c r="D11" s="29"/>
      <c r="E11" s="29"/>
      <c r="F11" s="8"/>
      <c r="G11" s="28"/>
    </row>
    <row r="12" spans="1:7">
      <c r="A12" s="27"/>
      <c r="B12" s="27"/>
      <c r="C12" s="28"/>
      <c r="D12" s="29"/>
      <c r="E12" s="29"/>
      <c r="F12" s="8"/>
      <c r="G12" s="28"/>
    </row>
    <row r="13" spans="1:7">
      <c r="A13" s="27"/>
      <c r="B13" s="27"/>
      <c r="C13" s="28"/>
      <c r="D13" s="29"/>
      <c r="E13" s="29"/>
      <c r="F13" s="8"/>
      <c r="G13" s="28"/>
    </row>
    <row r="14" spans="1:7">
      <c r="A14" s="27"/>
      <c r="B14" s="27"/>
      <c r="C14" s="28"/>
      <c r="D14" s="29"/>
      <c r="E14" s="29"/>
      <c r="F14" s="8"/>
      <c r="G14" s="28"/>
    </row>
    <row r="15" spans="1:7">
      <c r="A15" s="27"/>
      <c r="B15" s="27"/>
      <c r="C15" s="28"/>
      <c r="D15" s="29"/>
      <c r="E15" s="29"/>
      <c r="F15" s="8"/>
      <c r="G15" s="28"/>
    </row>
    <row r="16" spans="1:7">
      <c r="A16" s="27"/>
      <c r="B16" s="27"/>
      <c r="C16" s="28"/>
      <c r="D16" s="29"/>
      <c r="E16" s="29"/>
      <c r="F16" s="8"/>
      <c r="G16" s="28"/>
    </row>
    <row r="17" spans="1:7">
      <c r="A17" s="27"/>
      <c r="B17" s="27"/>
      <c r="C17" s="28"/>
      <c r="D17" s="29"/>
      <c r="E17" s="29"/>
      <c r="F17" s="8"/>
      <c r="G17" s="28"/>
    </row>
    <row r="18" spans="1:7">
      <c r="A18" s="27"/>
      <c r="B18" s="27"/>
      <c r="C18" s="28"/>
      <c r="D18" s="29"/>
      <c r="E18" s="29"/>
      <c r="F18" s="8"/>
      <c r="G18" s="28"/>
    </row>
    <row r="19" spans="1:7">
      <c r="A19" s="27"/>
      <c r="B19" s="27"/>
      <c r="C19" s="28"/>
      <c r="D19" s="29"/>
      <c r="E19" s="29"/>
      <c r="F19" s="8"/>
      <c r="G19" s="28"/>
    </row>
    <row r="20" spans="1:7">
      <c r="A20" s="27"/>
      <c r="B20" s="27"/>
      <c r="C20" s="28"/>
      <c r="D20" s="29"/>
      <c r="E20" s="29"/>
      <c r="F20" s="8"/>
      <c r="G20" s="28"/>
    </row>
    <row r="21" spans="1:7">
      <c r="D21" s="25"/>
      <c r="E21" s="24"/>
    </row>
    <row r="22" spans="1:7">
      <c r="D22" s="25"/>
    </row>
    <row r="23" spans="1:7">
      <c r="D23" s="25"/>
    </row>
    <row r="24" spans="1:7">
      <c r="D24" s="25"/>
    </row>
    <row r="25" spans="1:7">
      <c r="D25" s="25"/>
    </row>
    <row r="26" spans="1:7">
      <c r="D26" s="25"/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4DF9-1356-B941-B154-85D7896DE574}">
  <dimension ref="A2:C8"/>
  <sheetViews>
    <sheetView zoomScale="120" zoomScaleNormal="120" workbookViewId="0">
      <selection activeCell="B3" sqref="B3"/>
    </sheetView>
  </sheetViews>
  <sheetFormatPr baseColWidth="10" defaultColWidth="10.83203125" defaultRowHeight="16"/>
  <cols>
    <col min="1" max="1" width="17.5" bestFit="1" customWidth="1"/>
  </cols>
  <sheetData>
    <row r="2" spans="1:3">
      <c r="A2" s="5" t="s">
        <v>88</v>
      </c>
      <c r="B2" s="33">
        <v>0.86</v>
      </c>
      <c r="C2" s="19" t="str">
        <f>B5&amp;"/kWh"</f>
        <v>R$/kWh</v>
      </c>
    </row>
    <row r="3" spans="1:3">
      <c r="A3" s="5" t="s">
        <v>89</v>
      </c>
      <c r="B3" s="33">
        <v>10</v>
      </c>
      <c r="C3" s="19" t="str">
        <f>B5&amp;"/h"</f>
        <v>R$/h</v>
      </c>
    </row>
    <row r="4" spans="1:3">
      <c r="A4" s="5" t="s">
        <v>90</v>
      </c>
      <c r="B4" s="22">
        <v>10</v>
      </c>
      <c r="C4" s="19" t="s">
        <v>91</v>
      </c>
    </row>
    <row r="5" spans="1:3">
      <c r="A5" s="5" t="s">
        <v>92</v>
      </c>
      <c r="B5" s="21" t="s">
        <v>93</v>
      </c>
      <c r="C5" s="19"/>
    </row>
    <row r="6" spans="1:3">
      <c r="A6" s="2" t="s">
        <v>94</v>
      </c>
      <c r="B6" s="23">
        <v>0.2</v>
      </c>
      <c r="C6" s="19"/>
    </row>
    <row r="7" spans="1:3">
      <c r="A7" s="2" t="s">
        <v>95</v>
      </c>
      <c r="B7" s="23">
        <v>0</v>
      </c>
      <c r="C7" s="19"/>
    </row>
    <row r="8" spans="1:3">
      <c r="A8" s="2" t="s">
        <v>96</v>
      </c>
      <c r="B8" s="15">
        <v>4</v>
      </c>
      <c r="C8" s="2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5459-75A9-0E44-A8D7-9FEF16E57531}">
  <dimension ref="A1:K30"/>
  <sheetViews>
    <sheetView zoomScale="120" zoomScaleNormal="120" workbookViewId="0">
      <selection activeCell="C7" sqref="C7"/>
    </sheetView>
  </sheetViews>
  <sheetFormatPr baseColWidth="10" defaultColWidth="10.83203125" defaultRowHeight="16"/>
  <cols>
    <col min="1" max="1" width="23.83203125" bestFit="1" customWidth="1"/>
    <col min="2" max="2" width="15.83203125" bestFit="1" customWidth="1"/>
    <col min="3" max="3" width="19.33203125" bestFit="1" customWidth="1"/>
    <col min="4" max="4" width="18.5" bestFit="1" customWidth="1"/>
    <col min="5" max="5" width="16.6640625" bestFit="1" customWidth="1"/>
    <col min="6" max="6" width="22.33203125" bestFit="1" customWidth="1"/>
    <col min="7" max="7" width="17.5" bestFit="1" customWidth="1"/>
    <col min="8" max="8" width="23" bestFit="1" customWidth="1"/>
    <col min="9" max="9" width="12" bestFit="1" customWidth="1"/>
    <col min="10" max="10" width="11" customWidth="1"/>
  </cols>
  <sheetData>
    <row r="1" spans="1:11" ht="17" thickBot="1">
      <c r="A1" s="6" t="s">
        <v>80</v>
      </c>
      <c r="B1" s="6" t="s">
        <v>97</v>
      </c>
      <c r="C1" s="6" t="s">
        <v>98</v>
      </c>
      <c r="D1" s="6" t="s">
        <v>99</v>
      </c>
      <c r="E1" s="6" t="s">
        <v>100</v>
      </c>
      <c r="F1" s="6" t="s">
        <v>101</v>
      </c>
      <c r="G1" s="6" t="s">
        <v>102</v>
      </c>
      <c r="H1" s="6" t="s">
        <v>103</v>
      </c>
      <c r="I1" s="6" t="s">
        <v>104</v>
      </c>
    </row>
    <row r="2" spans="1:11">
      <c r="A2" s="7" t="s">
        <v>105</v>
      </c>
      <c r="B2" s="8">
        <v>1.75</v>
      </c>
      <c r="C2" s="17">
        <v>89</v>
      </c>
      <c r="D2" s="8">
        <v>1</v>
      </c>
      <c r="E2" s="8">
        <v>1.24</v>
      </c>
      <c r="F2" s="8">
        <v>220</v>
      </c>
      <c r="G2" s="8">
        <v>60</v>
      </c>
      <c r="H2" s="18">
        <f>D2/E2*4/(PI()*(B2/100)^2)/10</f>
        <v>335.2836194167644</v>
      </c>
      <c r="I2" s="16">
        <f>C2/D2</f>
        <v>89</v>
      </c>
      <c r="K2" s="30" t="s">
        <v>106</v>
      </c>
    </row>
    <row r="3" spans="1:11">
      <c r="A3" s="7" t="s">
        <v>107</v>
      </c>
      <c r="B3" s="8">
        <v>1.75</v>
      </c>
      <c r="C3" s="17">
        <v>75</v>
      </c>
      <c r="D3" s="8">
        <v>1</v>
      </c>
      <c r="E3" s="8">
        <v>1.24</v>
      </c>
      <c r="F3" s="8">
        <v>260</v>
      </c>
      <c r="G3" s="8">
        <v>80</v>
      </c>
      <c r="H3" s="18">
        <f t="shared" ref="H3:H8" si="0">D3/E3*4/(PI()*(B3/100)^2)/10</f>
        <v>335.2836194167644</v>
      </c>
      <c r="I3" s="16">
        <f t="shared" ref="I3:I10" si="1">C3/D3</f>
        <v>75</v>
      </c>
      <c r="K3" s="31" t="s">
        <v>108</v>
      </c>
    </row>
    <row r="4" spans="1:11" ht="17" thickBot="1">
      <c r="A4" s="7" t="s">
        <v>109</v>
      </c>
      <c r="B4" s="8">
        <v>1.75</v>
      </c>
      <c r="C4" s="17">
        <v>100</v>
      </c>
      <c r="D4" s="8">
        <v>1</v>
      </c>
      <c r="E4" s="8">
        <v>1.24</v>
      </c>
      <c r="F4" s="8">
        <v>220</v>
      </c>
      <c r="G4" s="8">
        <v>115</v>
      </c>
      <c r="H4" s="18">
        <f t="shared" si="0"/>
        <v>335.2836194167644</v>
      </c>
      <c r="I4" s="16">
        <f t="shared" si="1"/>
        <v>100</v>
      </c>
      <c r="K4" s="32" t="s">
        <v>110</v>
      </c>
    </row>
    <row r="5" spans="1:11">
      <c r="A5" s="7" t="s">
        <v>111</v>
      </c>
      <c r="B5" s="8">
        <v>1.75</v>
      </c>
      <c r="C5" s="17">
        <v>145</v>
      </c>
      <c r="D5" s="8">
        <v>1</v>
      </c>
      <c r="E5" s="8">
        <v>1.24</v>
      </c>
      <c r="F5" s="8">
        <v>220</v>
      </c>
      <c r="G5" s="8">
        <v>100</v>
      </c>
      <c r="H5" s="18">
        <f t="shared" si="0"/>
        <v>335.2836194167644</v>
      </c>
      <c r="I5" s="16">
        <f t="shared" si="1"/>
        <v>145</v>
      </c>
    </row>
    <row r="6" spans="1:11">
      <c r="A6" s="7" t="s">
        <v>57</v>
      </c>
      <c r="B6" s="8">
        <v>1.75</v>
      </c>
      <c r="C6" s="17">
        <v>75</v>
      </c>
      <c r="D6" s="8">
        <v>1</v>
      </c>
      <c r="E6" s="8">
        <v>1.24</v>
      </c>
      <c r="F6" s="8">
        <v>220</v>
      </c>
      <c r="G6" s="8">
        <v>100</v>
      </c>
      <c r="H6" s="18">
        <f t="shared" si="0"/>
        <v>335.2836194167644</v>
      </c>
      <c r="I6" s="16">
        <f t="shared" si="1"/>
        <v>75</v>
      </c>
    </row>
    <row r="7" spans="1:11">
      <c r="A7" s="7" t="s">
        <v>112</v>
      </c>
      <c r="B7" s="8">
        <v>1.75</v>
      </c>
      <c r="C7" s="17">
        <v>135</v>
      </c>
      <c r="D7" s="8">
        <v>1</v>
      </c>
      <c r="E7" s="8">
        <v>1.24</v>
      </c>
      <c r="F7" s="8">
        <v>220</v>
      </c>
      <c r="G7" s="8">
        <v>100</v>
      </c>
      <c r="H7" s="18">
        <f t="shared" si="0"/>
        <v>335.2836194167644</v>
      </c>
      <c r="I7" s="16">
        <f t="shared" si="1"/>
        <v>135</v>
      </c>
    </row>
    <row r="8" spans="1:11">
      <c r="A8" s="7" t="s">
        <v>113</v>
      </c>
      <c r="B8" s="8">
        <v>1.75</v>
      </c>
      <c r="C8" s="17">
        <v>175</v>
      </c>
      <c r="D8" s="8">
        <v>1</v>
      </c>
      <c r="E8" s="8">
        <v>1.24</v>
      </c>
      <c r="F8" s="8">
        <v>220</v>
      </c>
      <c r="G8" s="8">
        <v>100</v>
      </c>
      <c r="H8" s="18">
        <f t="shared" si="0"/>
        <v>335.2836194167644</v>
      </c>
      <c r="I8" s="16">
        <f t="shared" si="1"/>
        <v>175</v>
      </c>
    </row>
    <row r="9" spans="1:11">
      <c r="A9" s="7" t="s">
        <v>27</v>
      </c>
      <c r="B9" s="8">
        <v>1.75</v>
      </c>
      <c r="C9" s="17">
        <v>100</v>
      </c>
      <c r="D9" s="8">
        <v>1</v>
      </c>
      <c r="E9" s="8">
        <v>1.24</v>
      </c>
      <c r="F9" s="8">
        <v>220</v>
      </c>
      <c r="G9" s="8">
        <v>100</v>
      </c>
      <c r="H9" s="18">
        <v>335</v>
      </c>
      <c r="I9" s="16">
        <f t="shared" si="1"/>
        <v>100</v>
      </c>
    </row>
    <row r="10" spans="1:11">
      <c r="A10" s="7" t="s">
        <v>39</v>
      </c>
      <c r="B10" s="8">
        <v>1.75</v>
      </c>
      <c r="C10" s="17">
        <v>61.9</v>
      </c>
      <c r="D10" s="8">
        <v>1</v>
      </c>
      <c r="E10" s="8">
        <v>1.27</v>
      </c>
      <c r="F10" s="8">
        <v>245</v>
      </c>
      <c r="G10" s="8">
        <v>80</v>
      </c>
      <c r="H10" s="18">
        <v>370</v>
      </c>
      <c r="I10" s="16">
        <f t="shared" si="1"/>
        <v>61.9</v>
      </c>
    </row>
    <row r="11" spans="1:11">
      <c r="A11" s="7"/>
      <c r="B11" s="8"/>
      <c r="C11" s="17"/>
      <c r="D11" s="8"/>
      <c r="E11" s="8"/>
      <c r="F11" s="8"/>
      <c r="G11" s="8"/>
      <c r="H11" s="18"/>
      <c r="I11" s="16"/>
    </row>
    <row r="12" spans="1:11">
      <c r="A12" s="7"/>
      <c r="B12" s="8"/>
      <c r="C12" s="17"/>
      <c r="D12" s="8"/>
      <c r="E12" s="8"/>
      <c r="F12" s="8"/>
      <c r="G12" s="8"/>
      <c r="H12" s="18"/>
      <c r="I12" s="16"/>
    </row>
    <row r="13" spans="1:11">
      <c r="A13" s="7"/>
      <c r="B13" s="8"/>
      <c r="C13" s="17"/>
      <c r="D13" s="8"/>
      <c r="E13" s="8"/>
      <c r="F13" s="8"/>
      <c r="G13" s="8"/>
      <c r="H13" s="18"/>
      <c r="I13" s="16"/>
    </row>
    <row r="14" spans="1:11">
      <c r="A14" s="7"/>
      <c r="B14" s="8"/>
      <c r="C14" s="17"/>
      <c r="D14" s="8"/>
      <c r="E14" s="8"/>
      <c r="F14" s="8"/>
      <c r="G14" s="8"/>
      <c r="H14" s="18"/>
      <c r="I14" s="16"/>
    </row>
    <row r="15" spans="1:11">
      <c r="A15" s="7"/>
      <c r="B15" s="8"/>
      <c r="C15" s="17"/>
      <c r="D15" s="8"/>
      <c r="E15" s="8"/>
      <c r="F15" s="8"/>
      <c r="G15" s="8"/>
      <c r="H15" s="18"/>
      <c r="I15" s="16"/>
    </row>
    <row r="16" spans="1:11">
      <c r="A16" s="7"/>
      <c r="B16" s="8"/>
      <c r="C16" s="17"/>
      <c r="D16" s="8"/>
      <c r="E16" s="8"/>
      <c r="F16" s="8"/>
      <c r="G16" s="8"/>
      <c r="H16" s="18"/>
      <c r="I16" s="16"/>
    </row>
    <row r="17" spans="1:9">
      <c r="A17" s="7"/>
      <c r="B17" s="8"/>
      <c r="C17" s="17"/>
      <c r="D17" s="8"/>
      <c r="E17" s="8"/>
      <c r="F17" s="8"/>
      <c r="G17" s="8"/>
      <c r="H17" s="18"/>
      <c r="I17" s="16"/>
    </row>
    <row r="18" spans="1:9">
      <c r="A18" s="7"/>
      <c r="B18" s="8"/>
      <c r="C18" s="17"/>
      <c r="D18" s="8"/>
      <c r="E18" s="8"/>
      <c r="F18" s="8"/>
      <c r="G18" s="8"/>
      <c r="H18" s="18"/>
      <c r="I18" s="16"/>
    </row>
    <row r="19" spans="1:9">
      <c r="A19" s="7"/>
      <c r="B19" s="8"/>
      <c r="C19" s="17"/>
      <c r="D19" s="8"/>
      <c r="E19" s="8"/>
      <c r="F19" s="8"/>
      <c r="G19" s="8"/>
      <c r="H19" s="18"/>
      <c r="I19" s="16"/>
    </row>
    <row r="20" spans="1:9">
      <c r="A20" s="7"/>
      <c r="B20" s="8"/>
      <c r="C20" s="17"/>
      <c r="D20" s="8"/>
      <c r="E20" s="8"/>
      <c r="F20" s="8"/>
      <c r="G20" s="8"/>
      <c r="H20" s="18"/>
      <c r="I20" s="16"/>
    </row>
    <row r="21" spans="1:9">
      <c r="A21" s="7"/>
      <c r="B21" s="8"/>
      <c r="C21" s="17"/>
      <c r="D21" s="8"/>
      <c r="E21" s="8"/>
      <c r="F21" s="8"/>
      <c r="G21" s="8"/>
      <c r="H21" s="18"/>
      <c r="I21" s="16"/>
    </row>
    <row r="22" spans="1:9">
      <c r="A22" s="2"/>
      <c r="B22" s="2"/>
      <c r="C22" s="4"/>
      <c r="D22" s="2"/>
      <c r="E22" s="2"/>
      <c r="F22" s="2"/>
      <c r="G22" s="2"/>
      <c r="H22" s="2"/>
      <c r="I22" s="3"/>
    </row>
    <row r="23" spans="1:9">
      <c r="A23" s="2"/>
      <c r="B23" s="2"/>
      <c r="C23" s="4"/>
      <c r="D23" s="2"/>
      <c r="E23" s="2"/>
      <c r="F23" s="2"/>
      <c r="G23" s="2"/>
      <c r="H23" s="2"/>
      <c r="I23" s="3"/>
    </row>
    <row r="24" spans="1:9">
      <c r="A24" s="2"/>
      <c r="B24" s="2"/>
      <c r="C24" s="4"/>
      <c r="D24" s="2"/>
      <c r="E24" s="2"/>
      <c r="F24" s="2"/>
      <c r="G24" s="2"/>
      <c r="H24" s="2"/>
      <c r="I24" s="3"/>
    </row>
    <row r="25" spans="1:9">
      <c r="A25" s="2"/>
      <c r="B25" s="2"/>
      <c r="C25" s="4"/>
      <c r="D25" s="2"/>
      <c r="E25" s="2"/>
      <c r="F25" s="2"/>
      <c r="G25" s="2"/>
      <c r="H25" s="2"/>
      <c r="I25" s="3"/>
    </row>
    <row r="26" spans="1:9">
      <c r="A26" s="2"/>
      <c r="B26" s="2"/>
      <c r="C26" s="4"/>
      <c r="D26" s="2"/>
      <c r="E26" s="2"/>
      <c r="F26" s="2"/>
      <c r="G26" s="2"/>
      <c r="H26" s="2"/>
      <c r="I26" s="3"/>
    </row>
    <row r="27" spans="1:9">
      <c r="A27" s="2"/>
      <c r="B27" s="2"/>
      <c r="C27" s="4"/>
      <c r="D27" s="2"/>
      <c r="E27" s="2"/>
      <c r="F27" s="2"/>
      <c r="G27" s="2"/>
      <c r="H27" s="2"/>
      <c r="I27" s="3"/>
    </row>
    <row r="28" spans="1:9">
      <c r="A28" s="2"/>
      <c r="B28" s="2"/>
      <c r="C28" s="4"/>
      <c r="D28" s="2"/>
      <c r="E28" s="2"/>
      <c r="F28" s="2"/>
      <c r="G28" s="2"/>
      <c r="H28" s="2"/>
      <c r="I28" s="3"/>
    </row>
    <row r="29" spans="1:9">
      <c r="A29" s="2"/>
      <c r="B29" s="2"/>
      <c r="C29" s="4"/>
      <c r="D29" s="2"/>
      <c r="E29" s="2"/>
      <c r="F29" s="2"/>
      <c r="G29" s="2"/>
      <c r="H29" s="2"/>
      <c r="I29" s="3"/>
    </row>
    <row r="30" spans="1:9">
      <c r="A30" s="2"/>
      <c r="B30" s="2"/>
      <c r="C30" s="4"/>
      <c r="D30" s="2"/>
      <c r="E30" s="2"/>
      <c r="F30" s="2"/>
      <c r="G30" s="2"/>
      <c r="H30" s="2"/>
      <c r="I30" s="3"/>
    </row>
  </sheetData>
  <conditionalFormatting sqref="I2:I21">
    <cfRule type="colorScale" priority="1">
      <colorScale>
        <cfvo type="min"/>
        <cfvo type="percentile" val="50"/>
        <cfvo type="max"/>
        <color theme="9" tint="0.39997558519241921"/>
        <color rgb="FFFFC000"/>
        <color rgb="FFFF000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3C17-F1C4-7A4D-984A-57FB439E340B}">
  <dimension ref="A1:R19"/>
  <sheetViews>
    <sheetView zoomScale="120" zoomScaleNormal="120" workbookViewId="0">
      <selection activeCell="C24" sqref="C24"/>
    </sheetView>
  </sheetViews>
  <sheetFormatPr baseColWidth="10" defaultColWidth="10.83203125" defaultRowHeight="16"/>
  <cols>
    <col min="1" max="1" width="10.5" customWidth="1"/>
    <col min="2" max="2" width="13.5" customWidth="1"/>
    <col min="3" max="3" width="16.6640625" customWidth="1"/>
    <col min="4" max="4" width="16.33203125" customWidth="1"/>
    <col min="5" max="5" width="10.5" customWidth="1"/>
    <col min="6" max="6" width="11.5" customWidth="1"/>
    <col min="7" max="8" width="15.1640625" customWidth="1"/>
    <col min="9" max="9" width="11.83203125" customWidth="1"/>
    <col min="10" max="10" width="14.83203125" customWidth="1"/>
    <col min="11" max="12" width="14" customWidth="1"/>
    <col min="13" max="13" width="16.5" bestFit="1" customWidth="1"/>
    <col min="14" max="18" width="12.6640625" customWidth="1"/>
  </cols>
  <sheetData>
    <row r="1" spans="1:18" ht="16" customHeight="1">
      <c r="A1" s="145"/>
      <c r="B1" s="146"/>
      <c r="C1" s="179" t="s">
        <v>114</v>
      </c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1"/>
    </row>
    <row r="2" spans="1:18" ht="16" customHeight="1">
      <c r="A2" s="147"/>
      <c r="B2" s="148"/>
      <c r="C2" s="182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4"/>
    </row>
    <row r="3" spans="1:18" ht="16" customHeight="1">
      <c r="A3" s="147"/>
      <c r="B3" s="148"/>
      <c r="C3" s="182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4"/>
    </row>
    <row r="4" spans="1:18" ht="17" customHeight="1" thickBot="1">
      <c r="A4" s="177"/>
      <c r="B4" s="178"/>
      <c r="C4" s="185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7"/>
    </row>
    <row r="5" spans="1:18" ht="52" thickBot="1">
      <c r="A5" s="53" t="s">
        <v>115</v>
      </c>
      <c r="B5" s="54" t="s">
        <v>116</v>
      </c>
      <c r="C5" s="72" t="s">
        <v>117</v>
      </c>
      <c r="D5" s="72" t="s">
        <v>118</v>
      </c>
      <c r="E5" s="72" t="s">
        <v>15</v>
      </c>
      <c r="F5" s="72" t="s">
        <v>119</v>
      </c>
      <c r="G5" s="72" t="s">
        <v>120</v>
      </c>
      <c r="H5" s="72" t="s">
        <v>121</v>
      </c>
      <c r="I5" s="72" t="s">
        <v>122</v>
      </c>
      <c r="J5" s="73" t="s">
        <v>123</v>
      </c>
      <c r="K5" s="72" t="s">
        <v>26</v>
      </c>
      <c r="L5" s="72" t="s">
        <v>87</v>
      </c>
      <c r="M5" s="72" t="s">
        <v>124</v>
      </c>
      <c r="N5" s="72" t="s">
        <v>125</v>
      </c>
      <c r="O5" s="74" t="s">
        <v>126</v>
      </c>
      <c r="P5" s="74" t="s">
        <v>127</v>
      </c>
      <c r="Q5" s="75" t="s">
        <v>128</v>
      </c>
      <c r="R5" s="76" t="s">
        <v>129</v>
      </c>
    </row>
    <row r="6" spans="1:18">
      <c r="A6" s="55">
        <f>IF(DATE(YEAR(MIN(Produtos!$A:$A)),MONTH(MIN(Produtos!$A:$A))+ROW()-ROW($A$6),1)&gt;DATE(YEAR(MAX(Produtos!$A:$A)),MONTH(MAX(Produtos!$A:$A)),1),"",DATE(YEAR(MIN(Produtos!$A:$A)),MONTH(MIN(Produtos!$A:$A))+ROW()-ROW($A$6),1))</f>
        <v>46054</v>
      </c>
      <c r="B6" s="56">
        <f>SUMIFS(Produtos!$E:$E,Produtos!$A:$A,"&gt;="&amp;A6,Produtos!$A:$A,"&lt;"&amp;EOMONTH(A6,0)+1)/1000</f>
        <v>3.0782499999999997</v>
      </c>
      <c r="C6" s="57">
        <f>SUMIFS(Produtos!$F:$F,Produtos!$A:$A,"&gt;="&amp;A6,Produtos!$A:$A,"&lt;"&amp;EOMONTH(A6,0)+1)</f>
        <v>8.0361111111111114</v>
      </c>
      <c r="D6" s="57">
        <f>SUMIFS(Produtos!$G:$G,Produtos!$A:$A,"&gt;="&amp;A6,Produtos!$A:$A,"&lt;"&amp;EOMONTH(A6,0)+1)</f>
        <v>0.43749999999999994</v>
      </c>
      <c r="E6" s="58">
        <f>SUMIFS(Produtos!$H:$H,Produtos!$A:$A,"&gt;="&amp;A6,Produtos!$A:$A,"&lt;"&amp;EOMONTH(A6,0)+1)</f>
        <v>37.700000000000003</v>
      </c>
      <c r="F6" s="58">
        <f>SUMIFS(Produtos!$I:$I,Produtos!$A:$A,"&gt;="&amp;A6,Produtos!$A:$A,"&lt;"&amp;EOMONTH(A6,0)+1)</f>
        <v>0.1</v>
      </c>
      <c r="G6" s="58">
        <f>SUMIFS(Produtos!$J:$J,Produtos!$A:$A,"&gt;="&amp;A6,Produtos!$A:$A,"&lt;"&amp;EOMONTH(A6,0)+1)+SUMIFS(Produtos!$K:$K,Produtos!$A:$A,"&gt;="&amp;A6,Produtos!$A:$A,"&lt;"&amp;EOMONTH(A6,0)+1)+SUMIFS(Produtos!$L:$L,Produtos!$A:$A,"&gt;="&amp;A6,Produtos!$A:$A,"&lt;"&amp;EOMONTH(A6,0)+1)+SUMIFS(Produtos!$M:$M,Produtos!$A:$A,"&gt;="&amp;A6,Produtos!$A:$A,"&lt;"&amp;EOMONTH(A6,0)+1)</f>
        <v>519.61913746666664</v>
      </c>
      <c r="H6" s="58">
        <f>IFERROR(SUMIFS(Produtos!$K:$K,Produtos!$A:$A,"&gt;="&amp;$A6,Produtos!$A:$A,"&lt;"&amp;EOMONTH($A6,0)+1),"")</f>
        <v>24.879799999999996</v>
      </c>
      <c r="I6" s="58">
        <f>SUMIFS(Produtos!$T:$T,Produtos!$A:$A,"&gt;="&amp;A6,Produtos!$A:$A,"&lt;"&amp;EOMONTH(A6,0)+1)</f>
        <v>1055</v>
      </c>
      <c r="J6" s="59">
        <f>IF(G6=0,"",(I6-G6)/G6)</f>
        <v>1.0303332266465606</v>
      </c>
      <c r="K6" s="58">
        <f>SUMIFS(Produtos!$L:$L,Produtos!$C:$C,K$5,Produtos!$A:$A,"&gt;="&amp;A6,Produtos!$A:$A,"&lt;"&amp;EOMONTH(A6,0)+1)</f>
        <v>111.39573646666668</v>
      </c>
      <c r="L6" s="58">
        <f>SUMIFS(Produtos!$L:$L,Produtos!$C:$C,L$5,Produtos!$A:$A,"&gt;="&amp;B6,Produtos!$A:$A,"&lt;"&amp;EOMONTH(B6,0)+1)</f>
        <v>0</v>
      </c>
      <c r="M6" s="69">
        <f>IFERROR(SUMIFS(Produtos!$F:$F,Produtos!$C:$C,"A1 Combo",Produtos!$A:$A,"&gt;="&amp;$A6,Produtos!$A:$A,"&lt;"&amp;EOMONTH($A6,0)+1)*24,0)</f>
        <v>192.86666666666667</v>
      </c>
      <c r="N6" s="69">
        <f>IFERROR(SUMIFS(Produtos!$F:$F,Produtos!$C:$C,"H2D",Produtos!$A:$A,"&gt;="&amp;$A6,Produtos!$A:$A,"&lt;"&amp;EOMONTH($A6,0)+1)*24,0)</f>
        <v>0</v>
      </c>
      <c r="O6" s="77">
        <f>IFERROR(M6/VLOOKUP("A1 Combo",Impressoras!$A:$D,4,FALSE),"")</f>
        <v>1.9286666666666667E-2</v>
      </c>
      <c r="P6" s="77">
        <f>IFERROR(1-(M6/VLOOKUP("A1 Combo",Impressoras!$A:$D,4,FALSE)),"")</f>
        <v>0.98071333333333333</v>
      </c>
      <c r="Q6" s="77">
        <f>IFERROR(N6/VLOOKUP("H2D",Impressoras!$A:$D,4,FALSE),"")</f>
        <v>0</v>
      </c>
      <c r="R6" s="78">
        <f>IFERROR(1-(N6/VLOOKUP("H2D",Impressoras!$A:$D,4,FALSE)),"")</f>
        <v>1</v>
      </c>
    </row>
    <row r="7" spans="1:18">
      <c r="A7" s="101">
        <f>IF(DATE(YEAR(MIN(Produtos!$A:$A)),MONTH(MIN(Produtos!$A:$A))+ROW()-ROW($A$6),1)&gt;DATE(YEAR(MAX(Produtos!$A:$A)),MONTH(MAX(Produtos!$A:$A)),1),"",DATE(YEAR(MIN(Produtos!$A:$A)),MONTH(MIN(Produtos!$A:$A))+ROW()-ROW($A$6),1))</f>
        <v>46082</v>
      </c>
      <c r="B7" s="93">
        <f>SUMIFS(Produtos!$E:$E,Produtos!$A:$A,"&gt;="&amp;A7,Produtos!$A:$A,"&lt;"&amp;EOMONTH(A7,0)+1)/1000</f>
        <v>0.37531200000000003</v>
      </c>
      <c r="C7" s="94">
        <f>SUMIFS(Produtos!$F:$F,Produtos!$A:$A,"&gt;="&amp;A7,Produtos!$A:$A,"&lt;"&amp;EOMONTH(A7,0)+1)</f>
        <v>1.0734722222222222</v>
      </c>
      <c r="D7" s="94">
        <f>SUMIFS(Produtos!$G:$G,Produtos!$A:$A,"&gt;="&amp;A7,Produtos!$A:$A,"&lt;"&amp;EOMONTH(A7,0)+1)</f>
        <v>2.0833333333333332E-2</v>
      </c>
      <c r="E7" s="90">
        <f>SUMIFS(Produtos!$H:$H,Produtos!$A:$A,"&gt;="&amp;A7,Produtos!$A:$A,"&lt;"&amp;EOMONTH(A7,0)+1)</f>
        <v>26.5</v>
      </c>
      <c r="F7" s="90">
        <f>SUMIFS(Produtos!$I:$I,Produtos!$A:$A,"&gt;="&amp;A7,Produtos!$A:$A,"&lt;"&amp;EOMONTH(A7,0)+1)</f>
        <v>0</v>
      </c>
      <c r="G7" s="90">
        <f>SUMIFS(Produtos!$J:$J,Produtos!$A:$A,"&gt;="&amp;A7,Produtos!$A:$A,"&lt;"&amp;EOMONTH(A7,0)+1)+SUMIFS(Produtos!$K:$K,Produtos!$A:$A,"&gt;="&amp;A7,Produtos!$A:$A,"&lt;"&amp;EOMONTH(A7,0)+1)+SUMIFS(Produtos!$L:$L,Produtos!$A:$A,"&gt;="&amp;A7,Produtos!$A:$A,"&lt;"&amp;EOMONTH(A7,0)+1)+SUMIFS(Produtos!$M:$M,Produtos!$A:$A,"&gt;="&amp;A7,Produtos!$A:$A,"&lt;"&amp;EOMONTH(A7,0)+1)</f>
        <v>54.482820303333334</v>
      </c>
      <c r="H7" s="90">
        <f>IFERROR(SUMIFS(Produtos!$K:$K,Produtos!$A:$A,"&gt;="&amp;$A7,Produtos!$A:$A,"&lt;"&amp;EOMONTH($A7,0)+1),"")</f>
        <v>3.3234699999999999</v>
      </c>
      <c r="I7" s="90">
        <f>SUMIFS(Produtos!$T:$T,Produtos!$A:$A,"&gt;="&amp;A7,Produtos!$A:$A,"&lt;"&amp;EOMONTH(A7,0)+1)</f>
        <v>204</v>
      </c>
      <c r="J7" s="91">
        <f t="shared" ref="J7:J19" si="0">IF(G7=0,"",(I7-G7)/G7)</f>
        <v>2.7442995583603991</v>
      </c>
      <c r="K7" s="90">
        <f>SUMIFS(Produtos!$L:$L,Produtos!$C:$C,K$5,Produtos!$A:$A,"&gt;="&amp;A7,Produtos!$A:$A,"&lt;"&amp;EOMONTH(A7,0)+1)</f>
        <v>14.880360303333333</v>
      </c>
      <c r="L7" s="90">
        <f>SUMIFS(Produtos!$L:$L,Produtos!$C:$C,L$5,Produtos!$A:$A,"&gt;="&amp;B7,Produtos!$A:$A,"&lt;"&amp;EOMONTH(B7,0)+1)</f>
        <v>0</v>
      </c>
      <c r="M7" s="92">
        <f>IFERROR(SUMIFS(Produtos!$F:$F,Produtos!$C:$C,"A1 Combo",Produtos!$A:$A,"&gt;="&amp;$A7,Produtos!$A:$A,"&lt;"&amp;EOMONTH($A7,0)+1)*24,0)</f>
        <v>25.763333333333332</v>
      </c>
      <c r="N7" s="92">
        <f>IFERROR(SUMIFS(Produtos!$F:$F,Produtos!$C:$C,"H2D",Produtos!$A:$A,"&gt;="&amp;$A7,Produtos!$A:$A,"&lt;"&amp;EOMONTH($A7,0)+1)*24,0)</f>
        <v>0</v>
      </c>
      <c r="O7" s="82">
        <f>IFERROR(M7/VLOOKUP("A1 Combo",Impressoras!$A:$D,4,FALSE),"")</f>
        <v>2.5763333333333333E-3</v>
      </c>
      <c r="P7" s="82">
        <f>IFERROR(1-(M7/VLOOKUP("A1 Combo",Impressoras!$A:$D,4,FALSE)),"")</f>
        <v>0.99742366666666671</v>
      </c>
      <c r="Q7" s="82">
        <f>IFERROR(N7/VLOOKUP("H2D",Impressoras!$A:$D,4,FALSE),"")</f>
        <v>0</v>
      </c>
      <c r="R7" s="83">
        <f>IFERROR(1-(N7/VLOOKUP("H2D",Impressoras!$A:$D,4,FALSE)),"")</f>
        <v>1</v>
      </c>
    </row>
    <row r="8" spans="1:18">
      <c r="A8" s="102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8" s="95">
        <f>SUMIFS(Produtos!$E:$E,Produtos!$A:$A,"&gt;="&amp;A8,Produtos!$A:$A,"&lt;"&amp;EOMONTH(A8,0)+1)/1000</f>
        <v>0</v>
      </c>
      <c r="C8" s="96">
        <f>SUMIFS(Produtos!$F:$F,Produtos!$A:$A,"&gt;="&amp;A8,Produtos!$A:$A,"&lt;"&amp;EOMONTH(A8,0)+1)</f>
        <v>0</v>
      </c>
      <c r="D8" s="96">
        <f>SUMIFS(Produtos!$G:$G,Produtos!$A:$A,"&gt;="&amp;A8,Produtos!$A:$A,"&lt;"&amp;EOMONTH(A8,0)+1)</f>
        <v>0</v>
      </c>
      <c r="E8" s="97">
        <f>SUMIFS(Produtos!$H:$H,Produtos!$A:$A,"&gt;="&amp;A8,Produtos!$A:$A,"&lt;"&amp;EOMONTH(A8,0)+1)</f>
        <v>0</v>
      </c>
      <c r="F8" s="97">
        <f>SUMIFS(Produtos!$I:$I,Produtos!$A:$A,"&gt;="&amp;A8,Produtos!$A:$A,"&lt;"&amp;EOMONTH(A8,0)+1)</f>
        <v>0</v>
      </c>
      <c r="G8" s="97">
        <f>SUMIFS(Produtos!$J:$J,Produtos!$A:$A,"&gt;="&amp;A8,Produtos!$A:$A,"&lt;"&amp;EOMONTH(A8,0)+1)+SUMIFS(Produtos!$K:$K,Produtos!$A:$A,"&gt;="&amp;A8,Produtos!$A:$A,"&lt;"&amp;EOMONTH(A8,0)+1)+SUMIFS(Produtos!$L:$L,Produtos!$A:$A,"&gt;="&amp;A8,Produtos!$A:$A,"&lt;"&amp;EOMONTH(A8,0)+1)+SUMIFS(Produtos!$M:$M,Produtos!$A:$A,"&gt;="&amp;A8,Produtos!$A:$A,"&lt;"&amp;EOMONTH(A8,0)+1)</f>
        <v>0</v>
      </c>
      <c r="H8" s="97">
        <f>IFERROR(SUMIFS(Produtos!$K:$K,Produtos!$A:$A,"&gt;="&amp;$A8,Produtos!$A:$A,"&lt;"&amp;EOMONTH($A8,0)+1),"")</f>
        <v>0</v>
      </c>
      <c r="I8" s="97">
        <f>SUMIFS(Produtos!$T:$T,Produtos!$A:$A,"&gt;="&amp;A8,Produtos!$A:$A,"&lt;"&amp;EOMONTH(A8,0)+1)</f>
        <v>0</v>
      </c>
      <c r="J8" s="98" t="str">
        <f t="shared" si="0"/>
        <v/>
      </c>
      <c r="K8" s="97">
        <f>SUMIFS(Produtos!$L:$L,Produtos!$C:$C,K$5,Produtos!$A:$A,"&gt;="&amp;A8,Produtos!$A:$A,"&lt;"&amp;EOMONTH(A8,0)+1)</f>
        <v>0</v>
      </c>
      <c r="L8" s="97">
        <f>SUMIFS(Produtos!$L:$L,Produtos!$C:$C,L$5,Produtos!$A:$A,"&gt;="&amp;B8,Produtos!$A:$A,"&lt;"&amp;EOMONTH(B8,0)+1)</f>
        <v>0</v>
      </c>
      <c r="M8" s="99">
        <f>IFERROR(SUMIFS(Produtos!$F:$F,Produtos!$C:$C,"A1 Combo",Produtos!$A:$A,"&gt;="&amp;$A8,Produtos!$A:$A,"&lt;"&amp;EOMONTH($A8,0)+1)*24,0)</f>
        <v>0</v>
      </c>
      <c r="N8" s="99">
        <f>IFERROR(SUMIFS(Produtos!$F:$F,Produtos!$C:$C,"H2D",Produtos!$A:$A,"&gt;="&amp;$A8,Produtos!$A:$A,"&lt;"&amp;EOMONTH($A8,0)+1)*24,0)</f>
        <v>0</v>
      </c>
      <c r="O8" s="100">
        <f>IFERROR(M8/VLOOKUP("A1 Combo",Impressoras!$A:$D,4,FALSE),"")</f>
        <v>0</v>
      </c>
      <c r="P8" s="100">
        <f>IFERROR(1-(M8/VLOOKUP("A1 Combo",Impressoras!$A:$D,4,FALSE)),"")</f>
        <v>1</v>
      </c>
      <c r="Q8" s="100">
        <f>IFERROR(N8/VLOOKUP("H2D",Impressoras!$A:$D,4,FALSE),"")</f>
        <v>0</v>
      </c>
      <c r="R8" s="104">
        <f>IFERROR(1-(N8/VLOOKUP("H2D",Impressoras!$A:$D,4,FALSE)),"")</f>
        <v>1</v>
      </c>
    </row>
    <row r="9" spans="1:18">
      <c r="A9" s="101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9" s="93">
        <f>SUMIFS(Produtos!$E:$E,Produtos!$A:$A,"&gt;="&amp;A9,Produtos!$A:$A,"&lt;"&amp;EOMONTH(A9,0)+1)/1000</f>
        <v>0</v>
      </c>
      <c r="C9" s="94">
        <f>SUMIFS(Produtos!$F:$F,Produtos!$A:$A,"&gt;="&amp;A9,Produtos!$A:$A,"&lt;"&amp;EOMONTH(A9,0)+1)</f>
        <v>0</v>
      </c>
      <c r="D9" s="94">
        <f>SUMIFS(Produtos!$G:$G,Produtos!$A:$A,"&gt;="&amp;A9,Produtos!$A:$A,"&lt;"&amp;EOMONTH(A9,0)+1)</f>
        <v>0</v>
      </c>
      <c r="E9" s="90">
        <f>SUMIFS(Produtos!$H:$H,Produtos!$A:$A,"&gt;="&amp;A9,Produtos!$A:$A,"&lt;"&amp;EOMONTH(A9,0)+1)</f>
        <v>0</v>
      </c>
      <c r="F9" s="90">
        <f>SUMIFS(Produtos!$I:$I,Produtos!$A:$A,"&gt;="&amp;A9,Produtos!$A:$A,"&lt;"&amp;EOMONTH(A9,0)+1)</f>
        <v>0</v>
      </c>
      <c r="G9" s="90">
        <f>SUMIFS(Produtos!$J:$J,Produtos!$A:$A,"&gt;="&amp;A9,Produtos!$A:$A,"&lt;"&amp;EOMONTH(A9,0)+1)+SUMIFS(Produtos!$K:$K,Produtos!$A:$A,"&gt;="&amp;A9,Produtos!$A:$A,"&lt;"&amp;EOMONTH(A9,0)+1)+SUMIFS(Produtos!$L:$L,Produtos!$A:$A,"&gt;="&amp;A9,Produtos!$A:$A,"&lt;"&amp;EOMONTH(A9,0)+1)+SUMIFS(Produtos!$M:$M,Produtos!$A:$A,"&gt;="&amp;A9,Produtos!$A:$A,"&lt;"&amp;EOMONTH(A9,0)+1)</f>
        <v>0</v>
      </c>
      <c r="H9" s="90">
        <f>IFERROR(SUMIFS(Produtos!$K:$K,Produtos!$A:$A,"&gt;="&amp;$A9,Produtos!$A:$A,"&lt;"&amp;EOMONTH($A9,0)+1),"")</f>
        <v>0</v>
      </c>
      <c r="I9" s="90">
        <f>SUMIFS(Produtos!$T:$T,Produtos!$A:$A,"&gt;="&amp;A9,Produtos!$A:$A,"&lt;"&amp;EOMONTH(A9,0)+1)</f>
        <v>0</v>
      </c>
      <c r="J9" s="91" t="str">
        <f t="shared" si="0"/>
        <v/>
      </c>
      <c r="K9" s="90">
        <f>SUMIFS(Produtos!$L:$L,Produtos!$C:$C,K$5,Produtos!$A:$A,"&gt;="&amp;A9,Produtos!$A:$A,"&lt;"&amp;EOMONTH(A9,0)+1)</f>
        <v>0</v>
      </c>
      <c r="L9" s="90">
        <f>SUMIFS(Produtos!$L:$L,Produtos!$C:$C,L$5,Produtos!$A:$A,"&gt;="&amp;B9,Produtos!$A:$A,"&lt;"&amp;EOMONTH(B9,0)+1)</f>
        <v>0</v>
      </c>
      <c r="M9" s="92">
        <f>IFERROR(SUMIFS(Produtos!$F:$F,Produtos!$C:$C,"A1 Combo",Produtos!$A:$A,"&gt;="&amp;$A9,Produtos!$A:$A,"&lt;"&amp;EOMONTH($A9,0)+1)*24,0)</f>
        <v>0</v>
      </c>
      <c r="N9" s="92">
        <f>IFERROR(SUMIFS(Produtos!$F:$F,Produtos!$C:$C,"H2D",Produtos!$A:$A,"&gt;="&amp;$A9,Produtos!$A:$A,"&lt;"&amp;EOMONTH($A9,0)+1)*24,0)</f>
        <v>0</v>
      </c>
      <c r="O9" s="82">
        <f>IFERROR(M9/VLOOKUP("A1 Combo",Impressoras!$A:$D,4,FALSE),"")</f>
        <v>0</v>
      </c>
      <c r="P9" s="82">
        <f>IFERROR(1-(M9/VLOOKUP("A1 Combo",Impressoras!$A:$D,4,FALSE)),"")</f>
        <v>1</v>
      </c>
      <c r="Q9" s="82">
        <f>IFERROR(N9/VLOOKUP("H2D",Impressoras!$A:$D,4,FALSE),"")</f>
        <v>0</v>
      </c>
      <c r="R9" s="83">
        <f>IFERROR(1-(N9/VLOOKUP("H2D",Impressoras!$A:$D,4,FALSE)),"")</f>
        <v>1</v>
      </c>
    </row>
    <row r="10" spans="1:18">
      <c r="A10" s="102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0" s="95">
        <f>SUMIFS(Produtos!$E:$E,Produtos!$A:$A,"&gt;="&amp;A10,Produtos!$A:$A,"&lt;"&amp;EOMONTH(A10,0)+1)/1000</f>
        <v>0</v>
      </c>
      <c r="C10" s="96">
        <f>SUMIFS(Produtos!$F:$F,Produtos!$A:$A,"&gt;="&amp;A10,Produtos!$A:$A,"&lt;"&amp;EOMONTH(A10,0)+1)</f>
        <v>0</v>
      </c>
      <c r="D10" s="96">
        <f>SUMIFS(Produtos!$G:$G,Produtos!$A:$A,"&gt;="&amp;A10,Produtos!$A:$A,"&lt;"&amp;EOMONTH(A10,0)+1)</f>
        <v>0</v>
      </c>
      <c r="E10" s="97">
        <f>SUMIFS(Produtos!$H:$H,Produtos!$A:$A,"&gt;="&amp;A10,Produtos!$A:$A,"&lt;"&amp;EOMONTH(A10,0)+1)</f>
        <v>0</v>
      </c>
      <c r="F10" s="97">
        <f>SUMIFS(Produtos!$I:$I,Produtos!$A:$A,"&gt;="&amp;A10,Produtos!$A:$A,"&lt;"&amp;EOMONTH(A10,0)+1)</f>
        <v>0</v>
      </c>
      <c r="G10" s="97">
        <f>SUMIFS(Produtos!$J:$J,Produtos!$A:$A,"&gt;="&amp;A10,Produtos!$A:$A,"&lt;"&amp;EOMONTH(A10,0)+1)+SUMIFS(Produtos!$K:$K,Produtos!$A:$A,"&gt;="&amp;A10,Produtos!$A:$A,"&lt;"&amp;EOMONTH(A10,0)+1)+SUMIFS(Produtos!$L:$L,Produtos!$A:$A,"&gt;="&amp;A10,Produtos!$A:$A,"&lt;"&amp;EOMONTH(A10,0)+1)+SUMIFS(Produtos!$M:$M,Produtos!$A:$A,"&gt;="&amp;A10,Produtos!$A:$A,"&lt;"&amp;EOMONTH(A10,0)+1)</f>
        <v>0</v>
      </c>
      <c r="H10" s="97">
        <f>IFERROR(SUMIFS(Produtos!$K:$K,Produtos!$A:$A,"&gt;="&amp;$A10,Produtos!$A:$A,"&lt;"&amp;EOMONTH($A10,0)+1),"")</f>
        <v>0</v>
      </c>
      <c r="I10" s="97">
        <f>SUMIFS(Produtos!$T:$T,Produtos!$A:$A,"&gt;="&amp;A10,Produtos!$A:$A,"&lt;"&amp;EOMONTH(A10,0)+1)</f>
        <v>0</v>
      </c>
      <c r="J10" s="98" t="str">
        <f t="shared" si="0"/>
        <v/>
      </c>
      <c r="K10" s="97">
        <f>SUMIFS(Produtos!$L:$L,Produtos!$C:$C,K$5,Produtos!$A:$A,"&gt;="&amp;A10,Produtos!$A:$A,"&lt;"&amp;EOMONTH(A10,0)+1)</f>
        <v>0</v>
      </c>
      <c r="L10" s="97">
        <f>SUMIFS(Produtos!$L:$L,Produtos!$C:$C,L$5,Produtos!$A:$A,"&gt;="&amp;B10,Produtos!$A:$A,"&lt;"&amp;EOMONTH(B10,0)+1)</f>
        <v>0</v>
      </c>
      <c r="M10" s="99">
        <f>IFERROR(SUMIFS(Produtos!$F:$F,Produtos!$C:$C,"A1 Combo",Produtos!$A:$A,"&gt;="&amp;$A10,Produtos!$A:$A,"&lt;"&amp;EOMONTH($A10,0)+1)*24,0)</f>
        <v>0</v>
      </c>
      <c r="N10" s="99">
        <f>IFERROR(SUMIFS(Produtos!$F:$F,Produtos!$C:$C,"H2D",Produtos!$A:$A,"&gt;="&amp;$A10,Produtos!$A:$A,"&lt;"&amp;EOMONTH($A10,0)+1)*24,0)</f>
        <v>0</v>
      </c>
      <c r="O10" s="100">
        <f>IFERROR(M10/VLOOKUP("A1 Combo",Impressoras!$A:$D,4,FALSE),"")</f>
        <v>0</v>
      </c>
      <c r="P10" s="100">
        <f>IFERROR(1-(M10/VLOOKUP("A1 Combo",Impressoras!$A:$D,4,FALSE)),"")</f>
        <v>1</v>
      </c>
      <c r="Q10" s="100">
        <f>IFERROR(N10/VLOOKUP("H2D",Impressoras!$A:$D,4,FALSE),"")</f>
        <v>0</v>
      </c>
      <c r="R10" s="104">
        <f>IFERROR(1-(N10/VLOOKUP("H2D",Impressoras!$A:$D,4,FALSE)),"")</f>
        <v>1</v>
      </c>
    </row>
    <row r="11" spans="1:18">
      <c r="A11" s="101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1" s="93">
        <f>SUMIFS(Produtos!$E:$E,Produtos!$A:$A,"&gt;="&amp;A11,Produtos!$A:$A,"&lt;"&amp;EOMONTH(A11,0)+1)/1000</f>
        <v>0</v>
      </c>
      <c r="C11" s="94">
        <f>SUMIFS(Produtos!$F:$F,Produtos!$A:$A,"&gt;="&amp;A11,Produtos!$A:$A,"&lt;"&amp;EOMONTH(A11,0)+1)</f>
        <v>0</v>
      </c>
      <c r="D11" s="94">
        <f>SUMIFS(Produtos!$G:$G,Produtos!$A:$A,"&gt;="&amp;A11,Produtos!$A:$A,"&lt;"&amp;EOMONTH(A11,0)+1)</f>
        <v>0</v>
      </c>
      <c r="E11" s="90">
        <f>SUMIFS(Produtos!$H:$H,Produtos!$A:$A,"&gt;="&amp;A11,Produtos!$A:$A,"&lt;"&amp;EOMONTH(A11,0)+1)</f>
        <v>0</v>
      </c>
      <c r="F11" s="90">
        <f>SUMIFS(Produtos!$I:$I,Produtos!$A:$A,"&gt;="&amp;A11,Produtos!$A:$A,"&lt;"&amp;EOMONTH(A11,0)+1)</f>
        <v>0</v>
      </c>
      <c r="G11" s="90">
        <f>SUMIFS(Produtos!$J:$J,Produtos!$A:$A,"&gt;="&amp;A11,Produtos!$A:$A,"&lt;"&amp;EOMONTH(A11,0)+1)+SUMIFS(Produtos!$K:$K,Produtos!$A:$A,"&gt;="&amp;A11,Produtos!$A:$A,"&lt;"&amp;EOMONTH(A11,0)+1)+SUMIFS(Produtos!$L:$L,Produtos!$A:$A,"&gt;="&amp;A11,Produtos!$A:$A,"&lt;"&amp;EOMONTH(A11,0)+1)+SUMIFS(Produtos!$M:$M,Produtos!$A:$A,"&gt;="&amp;A11,Produtos!$A:$A,"&lt;"&amp;EOMONTH(A11,0)+1)</f>
        <v>0</v>
      </c>
      <c r="H11" s="90">
        <f>IFERROR(SUMIFS(Produtos!$K:$K,Produtos!$A:$A,"&gt;="&amp;$A11,Produtos!$A:$A,"&lt;"&amp;EOMONTH($A11,0)+1),"")</f>
        <v>0</v>
      </c>
      <c r="I11" s="90">
        <f>SUMIFS(Produtos!$T:$T,Produtos!$A:$A,"&gt;="&amp;A11,Produtos!$A:$A,"&lt;"&amp;EOMONTH(A11,0)+1)</f>
        <v>0</v>
      </c>
      <c r="J11" s="91" t="str">
        <f t="shared" si="0"/>
        <v/>
      </c>
      <c r="K11" s="90">
        <f>SUMIFS(Produtos!$L:$L,Produtos!$C:$C,K$5,Produtos!$A:$A,"&gt;="&amp;A11,Produtos!$A:$A,"&lt;"&amp;EOMONTH(A11,0)+1)</f>
        <v>0</v>
      </c>
      <c r="L11" s="90">
        <f>SUMIFS(Produtos!$L:$L,Produtos!$C:$C,L$5,Produtos!$A:$A,"&gt;="&amp;B11,Produtos!$A:$A,"&lt;"&amp;EOMONTH(B11,0)+1)</f>
        <v>0</v>
      </c>
      <c r="M11" s="92">
        <f>IFERROR(SUMIFS(Produtos!$F:$F,Produtos!$C:$C,"A1 Combo",Produtos!$A:$A,"&gt;="&amp;$A11,Produtos!$A:$A,"&lt;"&amp;EOMONTH($A11,0)+1)*24,0)</f>
        <v>0</v>
      </c>
      <c r="N11" s="92">
        <f>IFERROR(SUMIFS(Produtos!$F:$F,Produtos!$C:$C,"H2D",Produtos!$A:$A,"&gt;="&amp;$A11,Produtos!$A:$A,"&lt;"&amp;EOMONTH($A11,0)+1)*24,0)</f>
        <v>0</v>
      </c>
      <c r="O11" s="82">
        <f>IFERROR(M11/VLOOKUP("A1 Combo",Impressoras!$A:$D,4,FALSE),"")</f>
        <v>0</v>
      </c>
      <c r="P11" s="82">
        <f>IFERROR(1-(M11/VLOOKUP("A1 Combo",Impressoras!$A:$D,4,FALSE)),"")</f>
        <v>1</v>
      </c>
      <c r="Q11" s="82">
        <f>IFERROR(N11/VLOOKUP("H2D",Impressoras!$A:$D,4,FALSE),"")</f>
        <v>0</v>
      </c>
      <c r="R11" s="83">
        <f>IFERROR(1-(N11/VLOOKUP("H2D",Impressoras!$A:$D,4,FALSE)),"")</f>
        <v>1</v>
      </c>
    </row>
    <row r="12" spans="1:18">
      <c r="A12" s="102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2" s="95">
        <f>SUMIFS(Produtos!$E:$E,Produtos!$A:$A,"&gt;="&amp;A12,Produtos!$A:$A,"&lt;"&amp;EOMONTH(A12,0)+1)/1000</f>
        <v>0</v>
      </c>
      <c r="C12" s="96">
        <f>SUMIFS(Produtos!$F:$F,Produtos!$A:$A,"&gt;="&amp;A12,Produtos!$A:$A,"&lt;"&amp;EOMONTH(A12,0)+1)</f>
        <v>0</v>
      </c>
      <c r="D12" s="96">
        <f>SUMIFS(Produtos!$G:$G,Produtos!$A:$A,"&gt;="&amp;A12,Produtos!$A:$A,"&lt;"&amp;EOMONTH(A12,0)+1)</f>
        <v>0</v>
      </c>
      <c r="E12" s="97">
        <f>SUMIFS(Produtos!$H:$H,Produtos!$A:$A,"&gt;="&amp;A12,Produtos!$A:$A,"&lt;"&amp;EOMONTH(A12,0)+1)</f>
        <v>0</v>
      </c>
      <c r="F12" s="97">
        <f>SUMIFS(Produtos!$I:$I,Produtos!$A:$A,"&gt;="&amp;A12,Produtos!$A:$A,"&lt;"&amp;EOMONTH(A12,0)+1)</f>
        <v>0</v>
      </c>
      <c r="G12" s="97">
        <f>SUMIFS(Produtos!$J:$J,Produtos!$A:$A,"&gt;="&amp;A12,Produtos!$A:$A,"&lt;"&amp;EOMONTH(A12,0)+1)+SUMIFS(Produtos!$K:$K,Produtos!$A:$A,"&gt;="&amp;A12,Produtos!$A:$A,"&lt;"&amp;EOMONTH(A12,0)+1)+SUMIFS(Produtos!$L:$L,Produtos!$A:$A,"&gt;="&amp;A12,Produtos!$A:$A,"&lt;"&amp;EOMONTH(A12,0)+1)+SUMIFS(Produtos!$M:$M,Produtos!$A:$A,"&gt;="&amp;A12,Produtos!$A:$A,"&lt;"&amp;EOMONTH(A12,0)+1)</f>
        <v>0</v>
      </c>
      <c r="H12" s="97">
        <f>IFERROR(SUMIFS(Produtos!$K:$K,Produtos!$A:$A,"&gt;="&amp;$A12,Produtos!$A:$A,"&lt;"&amp;EOMONTH($A12,0)+1),"")</f>
        <v>0</v>
      </c>
      <c r="I12" s="97">
        <f>SUMIFS(Produtos!$T:$T,Produtos!$A:$A,"&gt;="&amp;A12,Produtos!$A:$A,"&lt;"&amp;EOMONTH(A12,0)+1)</f>
        <v>0</v>
      </c>
      <c r="J12" s="98" t="str">
        <f t="shared" si="0"/>
        <v/>
      </c>
      <c r="K12" s="97">
        <f>SUMIFS(Produtos!$L:$L,Produtos!$C:$C,K$5,Produtos!$A:$A,"&gt;="&amp;A12,Produtos!$A:$A,"&lt;"&amp;EOMONTH(A12,0)+1)</f>
        <v>0</v>
      </c>
      <c r="L12" s="97">
        <f>SUMIFS(Produtos!$L:$L,Produtos!$C:$C,L$5,Produtos!$A:$A,"&gt;="&amp;B12,Produtos!$A:$A,"&lt;"&amp;EOMONTH(B12,0)+1)</f>
        <v>0</v>
      </c>
      <c r="M12" s="99">
        <f>IFERROR(SUMIFS(Produtos!$F:$F,Produtos!$C:$C,"A1 Combo",Produtos!$A:$A,"&gt;="&amp;$A12,Produtos!$A:$A,"&lt;"&amp;EOMONTH($A12,0)+1)*24,0)</f>
        <v>0</v>
      </c>
      <c r="N12" s="99">
        <f>IFERROR(SUMIFS(Produtos!$F:$F,Produtos!$C:$C,"H2D",Produtos!$A:$A,"&gt;="&amp;$A12,Produtos!$A:$A,"&lt;"&amp;EOMONTH($A12,0)+1)*24,0)</f>
        <v>0</v>
      </c>
      <c r="O12" s="100">
        <f>IFERROR(M12/VLOOKUP("A1 Combo",Impressoras!$A:$D,4,FALSE),"")</f>
        <v>0</v>
      </c>
      <c r="P12" s="100">
        <f>IFERROR(1-(M12/VLOOKUP("A1 Combo",Impressoras!$A:$D,4,FALSE)),"")</f>
        <v>1</v>
      </c>
      <c r="Q12" s="100">
        <f>IFERROR(N12/VLOOKUP("H2D",Impressoras!$A:$D,4,FALSE),"")</f>
        <v>0</v>
      </c>
      <c r="R12" s="104">
        <f>IFERROR(1-(N12/VLOOKUP("H2D",Impressoras!$A:$D,4,FALSE)),"")</f>
        <v>1</v>
      </c>
    </row>
    <row r="13" spans="1:18">
      <c r="A13" s="101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3" s="93">
        <f>SUMIFS(Produtos!$E:$E,Produtos!$A:$A,"&gt;="&amp;A13,Produtos!$A:$A,"&lt;"&amp;EOMONTH(A13,0)+1)/1000</f>
        <v>0</v>
      </c>
      <c r="C13" s="94">
        <f>SUMIFS(Produtos!$F:$F,Produtos!$A:$A,"&gt;="&amp;A13,Produtos!$A:$A,"&lt;"&amp;EOMONTH(A13,0)+1)</f>
        <v>0</v>
      </c>
      <c r="D13" s="94">
        <f>SUMIFS(Produtos!$G:$G,Produtos!$A:$A,"&gt;="&amp;A13,Produtos!$A:$A,"&lt;"&amp;EOMONTH(A13,0)+1)</f>
        <v>0</v>
      </c>
      <c r="E13" s="90">
        <f>SUMIFS(Produtos!$H:$H,Produtos!$A:$A,"&gt;="&amp;A13,Produtos!$A:$A,"&lt;"&amp;EOMONTH(A13,0)+1)</f>
        <v>0</v>
      </c>
      <c r="F13" s="90">
        <f>SUMIFS(Produtos!$I:$I,Produtos!$A:$A,"&gt;="&amp;A13,Produtos!$A:$A,"&lt;"&amp;EOMONTH(A13,0)+1)</f>
        <v>0</v>
      </c>
      <c r="G13" s="90">
        <f>SUMIFS(Produtos!$J:$J,Produtos!$A:$A,"&gt;="&amp;A13,Produtos!$A:$A,"&lt;"&amp;EOMONTH(A13,0)+1)+SUMIFS(Produtos!$K:$K,Produtos!$A:$A,"&gt;="&amp;A13,Produtos!$A:$A,"&lt;"&amp;EOMONTH(A13,0)+1)+SUMIFS(Produtos!$L:$L,Produtos!$A:$A,"&gt;="&amp;A13,Produtos!$A:$A,"&lt;"&amp;EOMONTH(A13,0)+1)+SUMIFS(Produtos!$M:$M,Produtos!$A:$A,"&gt;="&amp;A13,Produtos!$A:$A,"&lt;"&amp;EOMONTH(A13,0)+1)</f>
        <v>0</v>
      </c>
      <c r="H13" s="90">
        <f>IFERROR(SUMIFS(Produtos!$K:$K,Produtos!$A:$A,"&gt;="&amp;$A13,Produtos!$A:$A,"&lt;"&amp;EOMONTH($A13,0)+1),"")</f>
        <v>0</v>
      </c>
      <c r="I13" s="90">
        <f>SUMIFS(Produtos!$T:$T,Produtos!$A:$A,"&gt;="&amp;A13,Produtos!$A:$A,"&lt;"&amp;EOMONTH(A13,0)+1)</f>
        <v>0</v>
      </c>
      <c r="J13" s="91" t="str">
        <f t="shared" si="0"/>
        <v/>
      </c>
      <c r="K13" s="90">
        <f>SUMIFS(Produtos!$L:$L,Produtos!$C:$C,K$5,Produtos!$A:$A,"&gt;="&amp;A13,Produtos!$A:$A,"&lt;"&amp;EOMONTH(A13,0)+1)</f>
        <v>0</v>
      </c>
      <c r="L13" s="90">
        <f>SUMIFS(Produtos!$L:$L,Produtos!$C:$C,L$5,Produtos!$A:$A,"&gt;="&amp;B13,Produtos!$A:$A,"&lt;"&amp;EOMONTH(B13,0)+1)</f>
        <v>0</v>
      </c>
      <c r="M13" s="92">
        <f>IFERROR(SUMIFS(Produtos!$F:$F,Produtos!$C:$C,"A1 Combo",Produtos!$A:$A,"&gt;="&amp;$A13,Produtos!$A:$A,"&lt;"&amp;EOMONTH($A13,0)+1)*24,0)</f>
        <v>0</v>
      </c>
      <c r="N13" s="92">
        <f>IFERROR(SUMIFS(Produtos!$F:$F,Produtos!$C:$C,"H2D",Produtos!$A:$A,"&gt;="&amp;$A13,Produtos!$A:$A,"&lt;"&amp;EOMONTH($A13,0)+1)*24,0)</f>
        <v>0</v>
      </c>
      <c r="O13" s="82">
        <f>IFERROR(M13/VLOOKUP("A1 Combo",Impressoras!$A:$D,4,FALSE),"")</f>
        <v>0</v>
      </c>
      <c r="P13" s="82">
        <f>IFERROR(1-(M13/VLOOKUP("A1 Combo",Impressoras!$A:$D,4,FALSE)),"")</f>
        <v>1</v>
      </c>
      <c r="Q13" s="82">
        <f>IFERROR(N13/VLOOKUP("H2D",Impressoras!$A:$D,4,FALSE),"")</f>
        <v>0</v>
      </c>
      <c r="R13" s="83">
        <f>IFERROR(1-(N13/VLOOKUP("H2D",Impressoras!$A:$D,4,FALSE)),"")</f>
        <v>1</v>
      </c>
    </row>
    <row r="14" spans="1:18">
      <c r="A14" s="102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4" s="95">
        <f>SUMIFS(Produtos!$E:$E,Produtos!$A:$A,"&gt;="&amp;A14,Produtos!$A:$A,"&lt;"&amp;EOMONTH(A14,0)+1)/1000</f>
        <v>0</v>
      </c>
      <c r="C14" s="96">
        <f>SUMIFS(Produtos!$F:$F,Produtos!$A:$A,"&gt;="&amp;A14,Produtos!$A:$A,"&lt;"&amp;EOMONTH(A14,0)+1)</f>
        <v>0</v>
      </c>
      <c r="D14" s="96">
        <f>SUMIFS(Produtos!$G:$G,Produtos!$A:$A,"&gt;="&amp;A14,Produtos!$A:$A,"&lt;"&amp;EOMONTH(A14,0)+1)</f>
        <v>0</v>
      </c>
      <c r="E14" s="97">
        <f>SUMIFS(Produtos!$H:$H,Produtos!$A:$A,"&gt;="&amp;A14,Produtos!$A:$A,"&lt;"&amp;EOMONTH(A14,0)+1)</f>
        <v>0</v>
      </c>
      <c r="F14" s="97">
        <f>SUMIFS(Produtos!$I:$I,Produtos!$A:$A,"&gt;="&amp;A14,Produtos!$A:$A,"&lt;"&amp;EOMONTH(A14,0)+1)</f>
        <v>0</v>
      </c>
      <c r="G14" s="97">
        <f>SUMIFS(Produtos!$J:$J,Produtos!$A:$A,"&gt;="&amp;A14,Produtos!$A:$A,"&lt;"&amp;EOMONTH(A14,0)+1)+SUMIFS(Produtos!$K:$K,Produtos!$A:$A,"&gt;="&amp;A14,Produtos!$A:$A,"&lt;"&amp;EOMONTH(A14,0)+1)+SUMIFS(Produtos!$L:$L,Produtos!$A:$A,"&gt;="&amp;A14,Produtos!$A:$A,"&lt;"&amp;EOMONTH(A14,0)+1)+SUMIFS(Produtos!$M:$M,Produtos!$A:$A,"&gt;="&amp;A14,Produtos!$A:$A,"&lt;"&amp;EOMONTH(A14,0)+1)</f>
        <v>0</v>
      </c>
      <c r="H14" s="97">
        <f>IFERROR(SUMIFS(Produtos!$K:$K,Produtos!$A:$A,"&gt;="&amp;$A14,Produtos!$A:$A,"&lt;"&amp;EOMONTH($A14,0)+1),"")</f>
        <v>0</v>
      </c>
      <c r="I14" s="97">
        <f>SUMIFS(Produtos!$T:$T,Produtos!$A:$A,"&gt;="&amp;A14,Produtos!$A:$A,"&lt;"&amp;EOMONTH(A14,0)+1)</f>
        <v>0</v>
      </c>
      <c r="J14" s="98" t="str">
        <f t="shared" si="0"/>
        <v/>
      </c>
      <c r="K14" s="97">
        <f>SUMIFS(Produtos!$L:$L,Produtos!$C:$C,K$5,Produtos!$A:$A,"&gt;="&amp;A14,Produtos!$A:$A,"&lt;"&amp;EOMONTH(A14,0)+1)</f>
        <v>0</v>
      </c>
      <c r="L14" s="97">
        <f>SUMIFS(Produtos!$L:$L,Produtos!$C:$C,L$5,Produtos!$A:$A,"&gt;="&amp;B14,Produtos!$A:$A,"&lt;"&amp;EOMONTH(B14,0)+1)</f>
        <v>0</v>
      </c>
      <c r="M14" s="99">
        <f>IFERROR(SUMIFS(Produtos!$F:$F,Produtos!$C:$C,"A1 Combo",Produtos!$A:$A,"&gt;="&amp;$A14,Produtos!$A:$A,"&lt;"&amp;EOMONTH($A14,0)+1)*24,0)</f>
        <v>0</v>
      </c>
      <c r="N14" s="99">
        <f>IFERROR(SUMIFS(Produtos!$F:$F,Produtos!$C:$C,"H2D",Produtos!$A:$A,"&gt;="&amp;$A14,Produtos!$A:$A,"&lt;"&amp;EOMONTH($A14,0)+1)*24,0)</f>
        <v>0</v>
      </c>
      <c r="O14" s="100">
        <f>IFERROR(M14/VLOOKUP("A1 Combo",Impressoras!$A:$D,4,FALSE),"")</f>
        <v>0</v>
      </c>
      <c r="P14" s="100">
        <f>IFERROR(1-(M14/VLOOKUP("A1 Combo",Impressoras!$A:$D,4,FALSE)),"")</f>
        <v>1</v>
      </c>
      <c r="Q14" s="100">
        <f>IFERROR(N14/VLOOKUP("H2D",Impressoras!$A:$D,4,FALSE),"")</f>
        <v>0</v>
      </c>
      <c r="R14" s="104">
        <f>IFERROR(1-(N14/VLOOKUP("H2D",Impressoras!$A:$D,4,FALSE)),"")</f>
        <v>1</v>
      </c>
    </row>
    <row r="15" spans="1:18">
      <c r="A15" s="101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5" s="93">
        <f>SUMIFS(Produtos!$E:$E,Produtos!$A:$A,"&gt;="&amp;A15,Produtos!$A:$A,"&lt;"&amp;EOMONTH(A15,0)+1)/1000</f>
        <v>0</v>
      </c>
      <c r="C15" s="94">
        <f>SUMIFS(Produtos!$F:$F,Produtos!$A:$A,"&gt;="&amp;A15,Produtos!$A:$A,"&lt;"&amp;EOMONTH(A15,0)+1)</f>
        <v>0</v>
      </c>
      <c r="D15" s="94">
        <f>SUMIFS(Produtos!$G:$G,Produtos!$A:$A,"&gt;="&amp;A15,Produtos!$A:$A,"&lt;"&amp;EOMONTH(A15,0)+1)</f>
        <v>0</v>
      </c>
      <c r="E15" s="90">
        <f>SUMIFS(Produtos!$H:$H,Produtos!$A:$A,"&gt;="&amp;A15,Produtos!$A:$A,"&lt;"&amp;EOMONTH(A15,0)+1)</f>
        <v>0</v>
      </c>
      <c r="F15" s="90">
        <f>SUMIFS(Produtos!$I:$I,Produtos!$A:$A,"&gt;="&amp;A15,Produtos!$A:$A,"&lt;"&amp;EOMONTH(A15,0)+1)</f>
        <v>0</v>
      </c>
      <c r="G15" s="90">
        <f>SUMIFS(Produtos!$J:$J,Produtos!$A:$A,"&gt;="&amp;A15,Produtos!$A:$A,"&lt;"&amp;EOMONTH(A15,0)+1)+SUMIFS(Produtos!$K:$K,Produtos!$A:$A,"&gt;="&amp;A15,Produtos!$A:$A,"&lt;"&amp;EOMONTH(A15,0)+1)+SUMIFS(Produtos!$L:$L,Produtos!$A:$A,"&gt;="&amp;A15,Produtos!$A:$A,"&lt;"&amp;EOMONTH(A15,0)+1)+SUMIFS(Produtos!$M:$M,Produtos!$A:$A,"&gt;="&amp;A15,Produtos!$A:$A,"&lt;"&amp;EOMONTH(A15,0)+1)</f>
        <v>0</v>
      </c>
      <c r="H15" s="90">
        <f>IFERROR(SUMIFS(Produtos!$K:$K,Produtos!$A:$A,"&gt;="&amp;$A15,Produtos!$A:$A,"&lt;"&amp;EOMONTH($A15,0)+1),"")</f>
        <v>0</v>
      </c>
      <c r="I15" s="90">
        <f>SUMIFS(Produtos!$T:$T,Produtos!$A:$A,"&gt;="&amp;A15,Produtos!$A:$A,"&lt;"&amp;EOMONTH(A15,0)+1)</f>
        <v>0</v>
      </c>
      <c r="J15" s="91" t="str">
        <f t="shared" si="0"/>
        <v/>
      </c>
      <c r="K15" s="90">
        <f>SUMIFS(Produtos!$L:$L,Produtos!$C:$C,K$5,Produtos!$A:$A,"&gt;="&amp;A15,Produtos!$A:$A,"&lt;"&amp;EOMONTH(A15,0)+1)</f>
        <v>0</v>
      </c>
      <c r="L15" s="90">
        <f>SUMIFS(Produtos!$L:$L,Produtos!$C:$C,L$5,Produtos!$A:$A,"&gt;="&amp;B15,Produtos!$A:$A,"&lt;"&amp;EOMONTH(B15,0)+1)</f>
        <v>0</v>
      </c>
      <c r="M15" s="92">
        <f>IFERROR(SUMIFS(Produtos!$F:$F,Produtos!$C:$C,"A1 Combo",Produtos!$A:$A,"&gt;="&amp;$A15,Produtos!$A:$A,"&lt;"&amp;EOMONTH($A15,0)+1)*24,0)</f>
        <v>0</v>
      </c>
      <c r="N15" s="92">
        <f>IFERROR(SUMIFS(Produtos!$F:$F,Produtos!$C:$C,"H2D",Produtos!$A:$A,"&gt;="&amp;$A15,Produtos!$A:$A,"&lt;"&amp;EOMONTH($A15,0)+1)*24,0)</f>
        <v>0</v>
      </c>
      <c r="O15" s="82">
        <f>IFERROR(M15/VLOOKUP("A1 Combo",Impressoras!$A:$D,4,FALSE),"")</f>
        <v>0</v>
      </c>
      <c r="P15" s="82">
        <f>IFERROR(1-(M15/VLOOKUP("A1 Combo",Impressoras!$A:$D,4,FALSE)),"")</f>
        <v>1</v>
      </c>
      <c r="Q15" s="82">
        <f>IFERROR(N15/VLOOKUP("H2D",Impressoras!$A:$D,4,FALSE),"")</f>
        <v>0</v>
      </c>
      <c r="R15" s="83">
        <f>IFERROR(1-(N15/VLOOKUP("H2D",Impressoras!$A:$D,4,FALSE)),"")</f>
        <v>1</v>
      </c>
    </row>
    <row r="16" spans="1:18">
      <c r="A16" s="102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6" s="95">
        <f>SUMIFS(Produtos!$E:$E,Produtos!$A:$A,"&gt;="&amp;A16,Produtos!$A:$A,"&lt;"&amp;EOMONTH(A16,0)+1)/1000</f>
        <v>0</v>
      </c>
      <c r="C16" s="96">
        <f>SUMIFS(Produtos!$F:$F,Produtos!$A:$A,"&gt;="&amp;A16,Produtos!$A:$A,"&lt;"&amp;EOMONTH(A16,0)+1)</f>
        <v>0</v>
      </c>
      <c r="D16" s="96">
        <f>SUMIFS(Produtos!$G:$G,Produtos!$A:$A,"&gt;="&amp;A16,Produtos!$A:$A,"&lt;"&amp;EOMONTH(A16,0)+1)</f>
        <v>0</v>
      </c>
      <c r="E16" s="97">
        <f>SUMIFS(Produtos!$H:$H,Produtos!$A:$A,"&gt;="&amp;A16,Produtos!$A:$A,"&lt;"&amp;EOMONTH(A16,0)+1)</f>
        <v>0</v>
      </c>
      <c r="F16" s="97">
        <f>SUMIFS(Produtos!$I:$I,Produtos!$A:$A,"&gt;="&amp;A16,Produtos!$A:$A,"&lt;"&amp;EOMONTH(A16,0)+1)</f>
        <v>0</v>
      </c>
      <c r="G16" s="97">
        <f>SUMIFS(Produtos!$J:$J,Produtos!$A:$A,"&gt;="&amp;A16,Produtos!$A:$A,"&lt;"&amp;EOMONTH(A16,0)+1)+SUMIFS(Produtos!$K:$K,Produtos!$A:$A,"&gt;="&amp;A16,Produtos!$A:$A,"&lt;"&amp;EOMONTH(A16,0)+1)+SUMIFS(Produtos!$L:$L,Produtos!$A:$A,"&gt;="&amp;A16,Produtos!$A:$A,"&lt;"&amp;EOMONTH(A16,0)+1)+SUMIFS(Produtos!$M:$M,Produtos!$A:$A,"&gt;="&amp;A16,Produtos!$A:$A,"&lt;"&amp;EOMONTH(A16,0)+1)</f>
        <v>0</v>
      </c>
      <c r="H16" s="97">
        <f>IFERROR(SUMIFS(Produtos!$K:$K,Produtos!$A:$A,"&gt;="&amp;$A16,Produtos!$A:$A,"&lt;"&amp;EOMONTH($A16,0)+1),"")</f>
        <v>0</v>
      </c>
      <c r="I16" s="97">
        <f>SUMIFS(Produtos!$T:$T,Produtos!$A:$A,"&gt;="&amp;A16,Produtos!$A:$A,"&lt;"&amp;EOMONTH(A16,0)+1)</f>
        <v>0</v>
      </c>
      <c r="J16" s="98" t="str">
        <f t="shared" si="0"/>
        <v/>
      </c>
      <c r="K16" s="97">
        <f>SUMIFS(Produtos!$L:$L,Produtos!$C:$C,K$5,Produtos!$A:$A,"&gt;="&amp;A16,Produtos!$A:$A,"&lt;"&amp;EOMONTH(A16,0)+1)</f>
        <v>0</v>
      </c>
      <c r="L16" s="97">
        <f>SUMIFS(Produtos!$L:$L,Produtos!$C:$C,L$5,Produtos!$A:$A,"&gt;="&amp;B16,Produtos!$A:$A,"&lt;"&amp;EOMONTH(B16,0)+1)</f>
        <v>0</v>
      </c>
      <c r="M16" s="99">
        <f>IFERROR(SUMIFS(Produtos!$F:$F,Produtos!$C:$C,"A1 Combo",Produtos!$A:$A,"&gt;="&amp;$A16,Produtos!$A:$A,"&lt;"&amp;EOMONTH($A16,0)+1)*24,0)</f>
        <v>0</v>
      </c>
      <c r="N16" s="99">
        <f>IFERROR(SUMIFS(Produtos!$F:$F,Produtos!$C:$C,"H2D",Produtos!$A:$A,"&gt;="&amp;$A16,Produtos!$A:$A,"&lt;"&amp;EOMONTH($A16,0)+1)*24,0)</f>
        <v>0</v>
      </c>
      <c r="O16" s="100">
        <f>IFERROR(M16/VLOOKUP("A1 Combo",Impressoras!$A:$D,4,FALSE),"")</f>
        <v>0</v>
      </c>
      <c r="P16" s="100">
        <f>IFERROR(1-(M16/VLOOKUP("A1 Combo",Impressoras!$A:$D,4,FALSE)),"")</f>
        <v>1</v>
      </c>
      <c r="Q16" s="100">
        <f>IFERROR(N16/VLOOKUP("H2D",Impressoras!$A:$D,4,FALSE),"")</f>
        <v>0</v>
      </c>
      <c r="R16" s="104">
        <f>IFERROR(1-(N16/VLOOKUP("H2D",Impressoras!$A:$D,4,FALSE)),"")</f>
        <v>1</v>
      </c>
    </row>
    <row r="17" spans="1:18">
      <c r="A17" s="101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7" s="93">
        <f>SUMIFS(Produtos!$E:$E,Produtos!$A:$A,"&gt;="&amp;A17,Produtos!$A:$A,"&lt;"&amp;EOMONTH(A17,0)+1)/1000</f>
        <v>0</v>
      </c>
      <c r="C17" s="94">
        <f>SUMIFS(Produtos!$F:$F,Produtos!$A:$A,"&gt;="&amp;A17,Produtos!$A:$A,"&lt;"&amp;EOMONTH(A17,0)+1)</f>
        <v>0</v>
      </c>
      <c r="D17" s="94">
        <f>SUMIFS(Produtos!$G:$G,Produtos!$A:$A,"&gt;="&amp;A17,Produtos!$A:$A,"&lt;"&amp;EOMONTH(A17,0)+1)</f>
        <v>0</v>
      </c>
      <c r="E17" s="90">
        <f>SUMIFS(Produtos!$H:$H,Produtos!$A:$A,"&gt;="&amp;A17,Produtos!$A:$A,"&lt;"&amp;EOMONTH(A17,0)+1)</f>
        <v>0</v>
      </c>
      <c r="F17" s="90">
        <f>SUMIFS(Produtos!$I:$I,Produtos!$A:$A,"&gt;="&amp;A17,Produtos!$A:$A,"&lt;"&amp;EOMONTH(A17,0)+1)</f>
        <v>0</v>
      </c>
      <c r="G17" s="90">
        <f>SUMIFS(Produtos!$J:$J,Produtos!$A:$A,"&gt;="&amp;A17,Produtos!$A:$A,"&lt;"&amp;EOMONTH(A17,0)+1)+SUMIFS(Produtos!$K:$K,Produtos!$A:$A,"&gt;="&amp;A17,Produtos!$A:$A,"&lt;"&amp;EOMONTH(A17,0)+1)+SUMIFS(Produtos!$L:$L,Produtos!$A:$A,"&gt;="&amp;A17,Produtos!$A:$A,"&lt;"&amp;EOMONTH(A17,0)+1)+SUMIFS(Produtos!$M:$M,Produtos!$A:$A,"&gt;="&amp;A17,Produtos!$A:$A,"&lt;"&amp;EOMONTH(A17,0)+1)</f>
        <v>0</v>
      </c>
      <c r="H17" s="90">
        <f>IFERROR(SUMIFS(Produtos!$K:$K,Produtos!$A:$A,"&gt;="&amp;$A17,Produtos!$A:$A,"&lt;"&amp;EOMONTH($A17,0)+1),"")</f>
        <v>0</v>
      </c>
      <c r="I17" s="90">
        <f>SUMIFS(Produtos!$T:$T,Produtos!$A:$A,"&gt;="&amp;A17,Produtos!$A:$A,"&lt;"&amp;EOMONTH(A17,0)+1)</f>
        <v>0</v>
      </c>
      <c r="J17" s="91" t="str">
        <f t="shared" si="0"/>
        <v/>
      </c>
      <c r="K17" s="90">
        <f>SUMIFS(Produtos!$L:$L,Produtos!$C:$C,K$5,Produtos!$A:$A,"&gt;="&amp;A17,Produtos!$A:$A,"&lt;"&amp;EOMONTH(A17,0)+1)</f>
        <v>0</v>
      </c>
      <c r="L17" s="90">
        <f>SUMIFS(Produtos!$L:$L,Produtos!$C:$C,L$5,Produtos!$A:$A,"&gt;="&amp;B17,Produtos!$A:$A,"&lt;"&amp;EOMONTH(B17,0)+1)</f>
        <v>0</v>
      </c>
      <c r="M17" s="92">
        <f>IFERROR(SUMIFS(Produtos!$F:$F,Produtos!$C:$C,"A1 Combo",Produtos!$A:$A,"&gt;="&amp;$A17,Produtos!$A:$A,"&lt;"&amp;EOMONTH($A17,0)+1)*24,0)</f>
        <v>0</v>
      </c>
      <c r="N17" s="92">
        <f>IFERROR(SUMIFS(Produtos!$F:$F,Produtos!$C:$C,"H2D",Produtos!$A:$A,"&gt;="&amp;$A17,Produtos!$A:$A,"&lt;"&amp;EOMONTH($A17,0)+1)*24,0)</f>
        <v>0</v>
      </c>
      <c r="O17" s="82">
        <f>IFERROR(M17/VLOOKUP("A1 Combo",Impressoras!$A:$D,4,FALSE),"")</f>
        <v>0</v>
      </c>
      <c r="P17" s="82">
        <f>IFERROR(1-(M17/VLOOKUP("A1 Combo",Impressoras!$A:$D,4,FALSE)),"")</f>
        <v>1</v>
      </c>
      <c r="Q17" s="82">
        <f>IFERROR(N17/VLOOKUP("H2D",Impressoras!$A:$D,4,FALSE),"")</f>
        <v>0</v>
      </c>
      <c r="R17" s="83">
        <f>IFERROR(1-(N17/VLOOKUP("H2D",Impressoras!$A:$D,4,FALSE)),"")</f>
        <v>1</v>
      </c>
    </row>
    <row r="18" spans="1:18" ht="17" thickBot="1">
      <c r="A18" s="103" t="str">
        <f>IF(DATE(YEAR(MIN(Produtos!$A:$A)),MONTH(MIN(Produtos!$A:$A))+ROW()-ROW($A$6),1)&gt;DATE(YEAR(MAX(Produtos!$A:$A)),MONTH(MAX(Produtos!$A:$A)),1),"",DATE(YEAR(MIN(Produtos!$A:$A)),MONTH(MIN(Produtos!$A:$A))+ROW()-ROW($A$6),1))</f>
        <v/>
      </c>
      <c r="B18" s="60">
        <f>SUMIFS(Produtos!$E:$E,Produtos!$A:$A,"&gt;="&amp;A18,Produtos!$A:$A,"&lt;"&amp;EOMONTH(A18,0)+1)/1000</f>
        <v>0</v>
      </c>
      <c r="C18" s="61">
        <f>SUMIFS(Produtos!$F:$F,Produtos!$A:$A,"&gt;="&amp;A18,Produtos!$A:$A,"&lt;"&amp;EOMONTH(A18,0)+1)</f>
        <v>0</v>
      </c>
      <c r="D18" s="61">
        <f>SUMIFS(Produtos!$G:$G,Produtos!$A:$A,"&gt;="&amp;A18,Produtos!$A:$A,"&lt;"&amp;EOMONTH(A18,0)+1)</f>
        <v>0</v>
      </c>
      <c r="E18" s="62">
        <f>SUMIFS(Produtos!$H:$H,Produtos!$A:$A,"&gt;="&amp;A18,Produtos!$A:$A,"&lt;"&amp;EOMONTH(A18,0)+1)</f>
        <v>0</v>
      </c>
      <c r="F18" s="62">
        <f>SUMIFS(Produtos!$I:$I,Produtos!$A:$A,"&gt;="&amp;A18,Produtos!$A:$A,"&lt;"&amp;EOMONTH(A18,0)+1)</f>
        <v>0</v>
      </c>
      <c r="G18" s="62">
        <f>SUMIFS(Produtos!$J:$J,Produtos!$A:$A,"&gt;="&amp;A18,Produtos!$A:$A,"&lt;"&amp;EOMONTH(A18,0)+1)+SUMIFS(Produtos!$K:$K,Produtos!$A:$A,"&gt;="&amp;A18,Produtos!$A:$A,"&lt;"&amp;EOMONTH(A18,0)+1)+SUMIFS(Produtos!$L:$L,Produtos!$A:$A,"&gt;="&amp;A18,Produtos!$A:$A,"&lt;"&amp;EOMONTH(A18,0)+1)+SUMIFS(Produtos!$M:$M,Produtos!$A:$A,"&gt;="&amp;A18,Produtos!$A:$A,"&lt;"&amp;EOMONTH(A18,0)+1)</f>
        <v>0</v>
      </c>
      <c r="H18" s="62">
        <f>IFERROR(SUMIFS(Produtos!$K:$K,Produtos!$A:$A,"&gt;="&amp;$A18,Produtos!$A:$A,"&lt;"&amp;EOMONTH($A18,0)+1),"")</f>
        <v>0</v>
      </c>
      <c r="I18" s="62">
        <f>SUMIFS(Produtos!$T:$T,Produtos!$A:$A,"&gt;="&amp;A18,Produtos!$A:$A,"&lt;"&amp;EOMONTH(A18,0)+1)</f>
        <v>0</v>
      </c>
      <c r="J18" s="63" t="str">
        <f t="shared" si="0"/>
        <v/>
      </c>
      <c r="K18" s="62">
        <f>SUMIFS(Produtos!$L:$L,Produtos!$C:$C,K$5,Produtos!$A:$A,"&gt;="&amp;A18,Produtos!$A:$A,"&lt;"&amp;EOMONTH(A18,0)+1)</f>
        <v>0</v>
      </c>
      <c r="L18" s="62">
        <f>SUMIFS(Produtos!$L:$L,Produtos!$C:$C,L$5,Produtos!$A:$A,"&gt;="&amp;B18,Produtos!$A:$A,"&lt;"&amp;EOMONTH(B18,0)+1)</f>
        <v>0</v>
      </c>
      <c r="M18" s="70">
        <f>IFERROR(SUMIFS(Produtos!$F:$F,Produtos!$C:$C,"A1 Combo",Produtos!$A:$A,"&gt;="&amp;$A18,Produtos!$A:$A,"&lt;"&amp;EOMONTH($A18,0)+1)*24,0)</f>
        <v>0</v>
      </c>
      <c r="N18" s="70">
        <f>IFERROR(SUMIFS(Produtos!$F:$F,Produtos!$C:$C,"H2D",Produtos!$A:$A,"&gt;="&amp;$A18,Produtos!$A:$A,"&lt;"&amp;EOMONTH($A18,0)+1)*24,0)</f>
        <v>0</v>
      </c>
      <c r="O18" s="77">
        <f>IFERROR(M18/VLOOKUP("A1 Combo",Impressoras!$A:$D,4,FALSE),"")</f>
        <v>0</v>
      </c>
      <c r="P18" s="77">
        <f>IFERROR(1-(M18/VLOOKUP("A1 Combo",Impressoras!$A:$D,4,FALSE)),"")</f>
        <v>1</v>
      </c>
      <c r="Q18" s="77">
        <f>IFERROR(N18/VLOOKUP("H2D",Impressoras!$A:$D,4,FALSE),"")</f>
        <v>0</v>
      </c>
      <c r="R18" s="79">
        <f>IFERROR(1-(N18/VLOOKUP("H2D",Impressoras!$A:$D,4,FALSE)),"")</f>
        <v>1</v>
      </c>
    </row>
    <row r="19" spans="1:18" ht="17" thickBot="1">
      <c r="A19" s="64" t="s">
        <v>130</v>
      </c>
      <c r="B19" s="65">
        <f>SUM(B$2:INDEX(B:B,MATCH(9.99999999999999E+307,A:A)))</f>
        <v>3.4535619999999998</v>
      </c>
      <c r="C19" s="66">
        <f>SUM(C$2:INDEX(C:C,MATCH(9.99999999999999E+307,A:A)))</f>
        <v>9.1095833333333331</v>
      </c>
      <c r="D19" s="66">
        <f>SUM(D$6:INDEX(D:D,MATCH(9.99999999999999E+307,A:A)))</f>
        <v>0.45833333333333326</v>
      </c>
      <c r="E19" s="67">
        <f>SUM(E$6:INDEX(E:E,MATCH(9.99999999999999E+307,A:A)))</f>
        <v>64.2</v>
      </c>
      <c r="F19" s="67">
        <f>SUM(F$6:INDEX(F:F,MATCH(9.99999999999999E+307,A:A)))</f>
        <v>0.1</v>
      </c>
      <c r="G19" s="67">
        <f>SUM(G$2:INDEX(G:G,MATCH(9.99999999999999E+307,A:A)))</f>
        <v>574.10195777000001</v>
      </c>
      <c r="H19" s="67">
        <f>SUM(H$6:INDEX(H:H,MATCH(9.99999999999999E+307,A:A)))</f>
        <v>28.203269999999996</v>
      </c>
      <c r="I19" s="67">
        <f>SUM(I$2:INDEX(I:I,MATCH(9.99999999999999E+307,A:A)))</f>
        <v>1259</v>
      </c>
      <c r="J19" s="68">
        <f t="shared" si="0"/>
        <v>1.1929902571493891</v>
      </c>
      <c r="K19" s="67">
        <f>SUM(K$2:INDEX(K:K,MATCH(9.99999999999999E+307,A:A)))</f>
        <v>126.27609677000001</v>
      </c>
      <c r="L19" s="67">
        <f>SUM(L$6:INDEX(N:N,MATCH(9.99999999999999E+307,A:A)))</f>
        <v>218.63</v>
      </c>
      <c r="M19" s="71">
        <f>SUM(M$6:INDEX(M:M,MATCH(9.99999999999999E+307,A:A)))</f>
        <v>218.63</v>
      </c>
      <c r="N19" s="71">
        <f>SUM(N$6:INDEX(N:N,MATCH(9.99999999999999E+307,A:A)))</f>
        <v>0</v>
      </c>
      <c r="O19" s="80">
        <f>IFERROR(M19/VLOOKUP("A1 Combo",Impressoras!$A:$D,4,FALSE),"")</f>
        <v>2.1863E-2</v>
      </c>
      <c r="P19" s="80">
        <f>IFERROR(1-(M19/VLOOKUP("A1 Combo",Impressoras!$A:$D,4,FALSE)),"")</f>
        <v>0.97813700000000003</v>
      </c>
      <c r="Q19" s="80">
        <f>IFERROR(N19/VLOOKUP("H2D",Impressoras!$A:$D,4,FALSE),"")</f>
        <v>0</v>
      </c>
      <c r="R19" s="81">
        <f>IFERROR(1-(N19/VLOOKUP("H2D",Impressoras!$A:$D,4,FALSE)),"")</f>
        <v>1</v>
      </c>
    </row>
  </sheetData>
  <mergeCells count="2">
    <mergeCell ref="A1:B4"/>
    <mergeCell ref="C1:R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F117-77AA-C649-91ED-607BF9108C7D}">
  <dimension ref="B5:S37"/>
  <sheetViews>
    <sheetView topLeftCell="A9" zoomScale="110" zoomScaleNormal="110" workbookViewId="0">
      <selection activeCell="L38" sqref="L38"/>
    </sheetView>
  </sheetViews>
  <sheetFormatPr baseColWidth="10" defaultColWidth="10.83203125" defaultRowHeight="16"/>
  <cols>
    <col min="3" max="3" width="30" bestFit="1" customWidth="1"/>
    <col min="4" max="4" width="13.1640625" customWidth="1"/>
    <col min="6" max="6" width="13.33203125" bestFit="1" customWidth="1"/>
    <col min="9" max="9" width="15.83203125" bestFit="1" customWidth="1"/>
    <col min="10" max="10" width="14.33203125" bestFit="1" customWidth="1"/>
    <col min="16" max="16" width="13.33203125" bestFit="1" customWidth="1"/>
  </cols>
  <sheetData>
    <row r="5" spans="2:19"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</v>
      </c>
      <c r="H5" t="s">
        <v>136</v>
      </c>
      <c r="I5" t="s">
        <v>137</v>
      </c>
      <c r="J5" t="s">
        <v>138</v>
      </c>
    </row>
    <row r="6" spans="2:19">
      <c r="B6" s="121">
        <v>1</v>
      </c>
      <c r="C6" t="s">
        <v>139</v>
      </c>
      <c r="D6" t="s">
        <v>140</v>
      </c>
      <c r="E6">
        <v>5.55</v>
      </c>
      <c r="F6" s="119">
        <v>8</v>
      </c>
      <c r="G6" s="122">
        <v>3.1898148148148148E-2</v>
      </c>
      <c r="H6" t="s">
        <v>141</v>
      </c>
      <c r="I6" t="s">
        <v>142</v>
      </c>
      <c r="J6" s="123">
        <v>0.1</v>
      </c>
      <c r="P6" t="s">
        <v>143</v>
      </c>
    </row>
    <row r="7" spans="2:19">
      <c r="B7" s="121">
        <v>2</v>
      </c>
      <c r="C7" t="s">
        <v>139</v>
      </c>
      <c r="D7" t="s">
        <v>140</v>
      </c>
      <c r="E7">
        <v>5.55</v>
      </c>
      <c r="F7" s="119">
        <v>9</v>
      </c>
      <c r="G7" s="122">
        <v>3.1898148148148148E-2</v>
      </c>
      <c r="H7" t="s">
        <v>144</v>
      </c>
      <c r="I7" t="s">
        <v>142</v>
      </c>
      <c r="J7" s="123"/>
    </row>
    <row r="8" spans="2:19">
      <c r="B8" s="121">
        <v>3</v>
      </c>
      <c r="C8" t="s">
        <v>139</v>
      </c>
      <c r="D8" t="s">
        <v>140</v>
      </c>
      <c r="E8">
        <v>5.55</v>
      </c>
      <c r="F8" s="119">
        <v>7</v>
      </c>
      <c r="G8" s="122">
        <v>3.1898148148148099E-2</v>
      </c>
      <c r="H8" t="s">
        <v>145</v>
      </c>
      <c r="I8" t="s">
        <v>142</v>
      </c>
      <c r="J8" s="123"/>
      <c r="N8" t="s">
        <v>131</v>
      </c>
      <c r="O8" t="s">
        <v>146</v>
      </c>
      <c r="P8" t="s">
        <v>62</v>
      </c>
      <c r="Q8" t="s">
        <v>136</v>
      </c>
      <c r="R8" t="s">
        <v>147</v>
      </c>
      <c r="S8" t="s">
        <v>63</v>
      </c>
    </row>
    <row r="9" spans="2:19">
      <c r="B9" s="121">
        <v>4</v>
      </c>
      <c r="C9" t="s">
        <v>139</v>
      </c>
      <c r="D9" t="s">
        <v>140</v>
      </c>
      <c r="E9">
        <v>5.55</v>
      </c>
      <c r="F9" s="119">
        <v>7</v>
      </c>
      <c r="G9" s="122">
        <v>3.1898148148148099E-2</v>
      </c>
      <c r="H9" t="s">
        <v>148</v>
      </c>
      <c r="I9" t="s">
        <v>149</v>
      </c>
      <c r="J9" s="123"/>
      <c r="N9" s="119">
        <v>1</v>
      </c>
      <c r="O9" s="119" t="s">
        <v>86</v>
      </c>
      <c r="P9" t="s">
        <v>150</v>
      </c>
      <c r="Q9" t="s">
        <v>145</v>
      </c>
      <c r="R9" s="120">
        <v>1000</v>
      </c>
      <c r="S9" s="88">
        <v>82.9</v>
      </c>
    </row>
    <row r="10" spans="2:19">
      <c r="B10" s="121">
        <v>5</v>
      </c>
      <c r="C10" t="s">
        <v>139</v>
      </c>
      <c r="D10" t="s">
        <v>140</v>
      </c>
      <c r="E10">
        <v>5.55</v>
      </c>
      <c r="F10" s="119">
        <v>11</v>
      </c>
      <c r="G10" s="122">
        <v>3.1898148148148099E-2</v>
      </c>
      <c r="H10" t="s">
        <v>151</v>
      </c>
      <c r="I10" t="s">
        <v>142</v>
      </c>
      <c r="J10" s="123"/>
      <c r="N10" s="119">
        <v>2</v>
      </c>
      <c r="O10" s="119" t="s">
        <v>86</v>
      </c>
      <c r="P10" t="s">
        <v>150</v>
      </c>
      <c r="Q10" t="s">
        <v>144</v>
      </c>
      <c r="R10" s="120">
        <v>1000</v>
      </c>
      <c r="S10" s="88">
        <v>82.9</v>
      </c>
    </row>
    <row r="11" spans="2:19">
      <c r="B11" s="121">
        <v>6</v>
      </c>
      <c r="C11" t="s">
        <v>139</v>
      </c>
      <c r="D11" t="s">
        <v>140</v>
      </c>
      <c r="E11">
        <v>5.55</v>
      </c>
      <c r="F11" s="119">
        <v>13</v>
      </c>
      <c r="G11" s="122">
        <v>3.1898148148148099E-2</v>
      </c>
      <c r="H11" t="s">
        <v>152</v>
      </c>
      <c r="I11" t="s">
        <v>142</v>
      </c>
      <c r="J11" s="123"/>
      <c r="N11" s="119">
        <v>3</v>
      </c>
      <c r="O11" s="119" t="s">
        <v>86</v>
      </c>
      <c r="P11" t="s">
        <v>153</v>
      </c>
      <c r="Q11" t="s">
        <v>141</v>
      </c>
      <c r="R11" s="120">
        <v>1000</v>
      </c>
      <c r="S11" s="88">
        <v>85.9</v>
      </c>
    </row>
    <row r="12" spans="2:19">
      <c r="B12" s="121">
        <v>7</v>
      </c>
      <c r="C12" t="s">
        <v>139</v>
      </c>
      <c r="D12" t="s">
        <v>140</v>
      </c>
      <c r="E12">
        <v>5.55</v>
      </c>
      <c r="F12" s="119">
        <v>14</v>
      </c>
      <c r="G12" s="122">
        <v>3.1898148148148099E-2</v>
      </c>
      <c r="H12" t="s">
        <v>154</v>
      </c>
      <c r="I12" t="s">
        <v>142</v>
      </c>
      <c r="J12" s="123"/>
      <c r="N12" s="119">
        <v>4</v>
      </c>
      <c r="O12" s="119" t="s">
        <v>86</v>
      </c>
      <c r="P12" t="s">
        <v>153</v>
      </c>
      <c r="Q12" t="s">
        <v>155</v>
      </c>
      <c r="R12" s="120">
        <v>1000</v>
      </c>
      <c r="S12" s="88">
        <v>85.9</v>
      </c>
    </row>
    <row r="13" spans="2:19">
      <c r="B13" s="121">
        <v>8</v>
      </c>
      <c r="C13" t="s">
        <v>139</v>
      </c>
      <c r="D13" t="s">
        <v>140</v>
      </c>
      <c r="E13">
        <v>5.55</v>
      </c>
      <c r="F13" s="119">
        <v>12</v>
      </c>
      <c r="G13" s="122">
        <v>3.1898148148148099E-2</v>
      </c>
      <c r="H13" t="s">
        <v>156</v>
      </c>
      <c r="I13" t="s">
        <v>142</v>
      </c>
      <c r="J13" s="123"/>
      <c r="N13" s="119">
        <v>5</v>
      </c>
      <c r="O13" s="119" t="s">
        <v>86</v>
      </c>
      <c r="P13" t="s">
        <v>157</v>
      </c>
      <c r="Q13" t="s">
        <v>145</v>
      </c>
      <c r="R13" s="120">
        <v>1000</v>
      </c>
      <c r="S13" s="88">
        <v>88.3</v>
      </c>
    </row>
    <row r="14" spans="2:19">
      <c r="B14" s="121">
        <v>9</v>
      </c>
      <c r="C14" t="s">
        <v>158</v>
      </c>
      <c r="D14" t="s">
        <v>140</v>
      </c>
      <c r="E14">
        <v>54.43</v>
      </c>
      <c r="F14" s="119">
        <v>9</v>
      </c>
      <c r="G14" s="122">
        <v>0.1986111111111111</v>
      </c>
      <c r="H14" t="s">
        <v>144</v>
      </c>
      <c r="I14" t="s">
        <v>142</v>
      </c>
      <c r="J14" s="123"/>
      <c r="N14" s="119">
        <v>6</v>
      </c>
      <c r="O14" s="119" t="s">
        <v>159</v>
      </c>
      <c r="P14" t="s">
        <v>157</v>
      </c>
      <c r="Q14" t="s">
        <v>144</v>
      </c>
      <c r="R14" s="120">
        <v>1000</v>
      </c>
      <c r="S14" s="88">
        <v>62.4</v>
      </c>
    </row>
    <row r="15" spans="2:19">
      <c r="B15" s="121">
        <v>10</v>
      </c>
      <c r="C15" t="s">
        <v>160</v>
      </c>
      <c r="D15" t="s">
        <v>161</v>
      </c>
      <c r="E15">
        <v>100.99</v>
      </c>
      <c r="F15" s="119">
        <v>16</v>
      </c>
      <c r="G15" s="122">
        <v>0.34097222222222223</v>
      </c>
      <c r="H15" t="s">
        <v>145</v>
      </c>
      <c r="I15" t="s">
        <v>149</v>
      </c>
      <c r="J15" s="123"/>
      <c r="N15" s="119">
        <v>7</v>
      </c>
      <c r="O15" s="119" t="s">
        <v>162</v>
      </c>
      <c r="P15" t="s">
        <v>163</v>
      </c>
      <c r="Q15" t="s">
        <v>145</v>
      </c>
      <c r="R15" s="120">
        <v>1000</v>
      </c>
      <c r="S15" s="88">
        <v>100</v>
      </c>
    </row>
    <row r="16" spans="2:19">
      <c r="B16" s="121">
        <v>11</v>
      </c>
      <c r="C16" t="s">
        <v>164</v>
      </c>
      <c r="D16" t="s">
        <v>165</v>
      </c>
      <c r="E16">
        <v>77.010000000000005</v>
      </c>
      <c r="F16" s="119">
        <v>11</v>
      </c>
      <c r="G16" s="122">
        <v>2.8587962962962963E-3</v>
      </c>
      <c r="H16" t="s">
        <v>151</v>
      </c>
      <c r="I16" t="s">
        <v>142</v>
      </c>
      <c r="J16" s="123">
        <v>5</v>
      </c>
      <c r="N16" s="119">
        <v>8</v>
      </c>
      <c r="O16" s="119" t="s">
        <v>162</v>
      </c>
      <c r="P16" t="s">
        <v>163</v>
      </c>
      <c r="Q16" t="s">
        <v>141</v>
      </c>
      <c r="R16" s="120">
        <v>1000</v>
      </c>
      <c r="S16" s="88">
        <v>100</v>
      </c>
    </row>
    <row r="17" spans="2:19">
      <c r="B17" s="121">
        <v>12</v>
      </c>
      <c r="C17" t="s">
        <v>166</v>
      </c>
      <c r="D17" t="s">
        <v>167</v>
      </c>
      <c r="E17">
        <v>97.81</v>
      </c>
      <c r="F17" s="119">
        <v>6</v>
      </c>
      <c r="G17" s="122">
        <v>0.27708333333333335</v>
      </c>
      <c r="H17" t="s">
        <v>168</v>
      </c>
      <c r="I17" t="s">
        <v>149</v>
      </c>
      <c r="J17" s="123">
        <v>28.1</v>
      </c>
      <c r="N17" s="119">
        <v>9</v>
      </c>
      <c r="O17" s="119" t="s">
        <v>162</v>
      </c>
      <c r="P17" t="s">
        <v>163</v>
      </c>
      <c r="Q17" t="s">
        <v>144</v>
      </c>
      <c r="R17" s="120">
        <v>1000</v>
      </c>
      <c r="S17" s="88">
        <v>100</v>
      </c>
    </row>
    <row r="18" spans="2:19">
      <c r="B18" s="121">
        <v>13</v>
      </c>
      <c r="F18" s="119"/>
      <c r="G18" s="122"/>
      <c r="J18" s="123"/>
      <c r="N18" s="119">
        <v>10</v>
      </c>
      <c r="O18" s="119" t="s">
        <v>162</v>
      </c>
      <c r="P18" t="s">
        <v>163</v>
      </c>
      <c r="Q18" t="s">
        <v>145</v>
      </c>
      <c r="R18" s="120">
        <v>1000</v>
      </c>
      <c r="S18" s="88">
        <v>100</v>
      </c>
    </row>
    <row r="19" spans="2:19">
      <c r="B19" s="121">
        <v>14</v>
      </c>
      <c r="C19" t="s">
        <v>169</v>
      </c>
      <c r="D19" t="s">
        <v>170</v>
      </c>
      <c r="E19">
        <v>279.52</v>
      </c>
      <c r="F19" s="119">
        <v>8</v>
      </c>
      <c r="G19" s="122">
        <v>0.17916666666666667</v>
      </c>
      <c r="H19" t="s">
        <v>141</v>
      </c>
      <c r="I19" t="s">
        <v>142</v>
      </c>
      <c r="J19" s="123">
        <v>0.41</v>
      </c>
      <c r="N19" s="119">
        <v>11</v>
      </c>
      <c r="O19" s="119" t="s">
        <v>162</v>
      </c>
      <c r="P19" t="s">
        <v>163</v>
      </c>
      <c r="Q19" t="s">
        <v>151</v>
      </c>
      <c r="R19" s="120">
        <v>1000</v>
      </c>
      <c r="S19" s="88">
        <v>100</v>
      </c>
    </row>
    <row r="20" spans="2:19">
      <c r="B20" s="121">
        <v>15</v>
      </c>
      <c r="F20" s="119"/>
      <c r="G20" s="122"/>
      <c r="N20" s="119">
        <v>12</v>
      </c>
      <c r="O20" s="119" t="s">
        <v>162</v>
      </c>
      <c r="P20" t="s">
        <v>163</v>
      </c>
      <c r="Q20" t="s">
        <v>156</v>
      </c>
      <c r="R20" s="120">
        <v>1000</v>
      </c>
      <c r="S20" s="88">
        <v>100</v>
      </c>
    </row>
    <row r="21" spans="2:19">
      <c r="B21" s="121">
        <v>16</v>
      </c>
      <c r="F21" s="119"/>
      <c r="G21" s="122"/>
      <c r="N21" s="119">
        <v>13</v>
      </c>
      <c r="O21" s="119" t="s">
        <v>162</v>
      </c>
      <c r="P21" t="s">
        <v>163</v>
      </c>
      <c r="Q21" t="s">
        <v>152</v>
      </c>
      <c r="R21" s="120">
        <v>1000</v>
      </c>
      <c r="S21" s="88">
        <v>100</v>
      </c>
    </row>
    <row r="22" spans="2:19">
      <c r="N22" s="119">
        <v>14</v>
      </c>
      <c r="O22" s="119" t="s">
        <v>162</v>
      </c>
      <c r="P22" t="s">
        <v>163</v>
      </c>
      <c r="Q22" t="s">
        <v>154</v>
      </c>
      <c r="R22" s="120">
        <v>1000</v>
      </c>
      <c r="S22" s="88">
        <v>100</v>
      </c>
    </row>
    <row r="23" spans="2:19">
      <c r="N23" s="119">
        <v>15</v>
      </c>
      <c r="O23" s="119" t="s">
        <v>162</v>
      </c>
      <c r="P23" t="s">
        <v>163</v>
      </c>
      <c r="Q23" t="s">
        <v>171</v>
      </c>
      <c r="R23" s="120">
        <v>1000</v>
      </c>
      <c r="S23" s="88">
        <v>100</v>
      </c>
    </row>
    <row r="24" spans="2:19">
      <c r="N24" s="119">
        <v>16</v>
      </c>
      <c r="O24" s="119" t="s">
        <v>159</v>
      </c>
      <c r="P24" t="s">
        <v>157</v>
      </c>
      <c r="Q24" t="s">
        <v>145</v>
      </c>
      <c r="R24" s="120">
        <v>1000</v>
      </c>
      <c r="S24" s="88">
        <v>62.4</v>
      </c>
    </row>
    <row r="25" spans="2:19">
      <c r="N25" s="119">
        <v>17</v>
      </c>
      <c r="O25" s="119"/>
      <c r="R25" s="120"/>
      <c r="S25" s="88"/>
    </row>
    <row r="26" spans="2:19">
      <c r="C26" s="188" t="s">
        <v>172</v>
      </c>
      <c r="D26" s="188"/>
      <c r="E26" s="188"/>
      <c r="F26" s="188"/>
      <c r="N26" s="119">
        <v>18</v>
      </c>
      <c r="O26" s="119"/>
      <c r="R26" s="120"/>
      <c r="S26" s="88"/>
    </row>
    <row r="27" spans="2:19">
      <c r="C27" s="188"/>
      <c r="D27" s="188"/>
      <c r="E27" s="188"/>
      <c r="F27" s="188"/>
      <c r="N27" s="119">
        <v>19</v>
      </c>
      <c r="O27" s="119"/>
      <c r="R27" s="120"/>
      <c r="S27" s="88"/>
    </row>
    <row r="28" spans="2:19">
      <c r="C28" s="188"/>
      <c r="D28" s="188"/>
      <c r="E28" s="188"/>
      <c r="F28" s="188"/>
      <c r="N28" s="119">
        <v>20</v>
      </c>
      <c r="O28" s="119"/>
      <c r="R28" s="120"/>
      <c r="S28" s="88"/>
    </row>
    <row r="29" spans="2:19">
      <c r="C29" s="188"/>
      <c r="D29" s="188"/>
      <c r="E29" s="188"/>
      <c r="F29" s="188"/>
    </row>
    <row r="30" spans="2:19">
      <c r="C30" s="188"/>
      <c r="D30" s="188"/>
      <c r="E30" s="188"/>
      <c r="F30" s="188"/>
    </row>
    <row r="31" spans="2:19">
      <c r="C31" s="188"/>
      <c r="D31" s="188"/>
      <c r="E31" s="188"/>
      <c r="F31" s="188"/>
    </row>
    <row r="32" spans="2:19">
      <c r="C32" s="188"/>
      <c r="D32" s="188"/>
      <c r="E32" s="188"/>
      <c r="F32" s="188"/>
    </row>
    <row r="33" spans="3:13">
      <c r="C33" s="188"/>
      <c r="D33" s="188"/>
      <c r="E33" s="188"/>
      <c r="F33" s="188"/>
      <c r="I33" s="189">
        <v>46091.854861111111</v>
      </c>
    </row>
    <row r="34" spans="3:13">
      <c r="C34" s="188"/>
      <c r="D34" s="188"/>
      <c r="E34" s="188"/>
      <c r="F34" s="188"/>
      <c r="I34" s="189">
        <v>46094.713194444441</v>
      </c>
      <c r="K34" s="115">
        <v>0.69236111111111109</v>
      </c>
      <c r="L34" s="115">
        <v>0.99930555555555556</v>
      </c>
      <c r="M34" s="115">
        <v>0.05</v>
      </c>
    </row>
    <row r="35" spans="3:13">
      <c r="C35" s="188"/>
      <c r="D35" s="188"/>
      <c r="E35" s="188"/>
      <c r="F35" s="188"/>
      <c r="I35" s="122">
        <f>I34-I33</f>
        <v>2.8583333333299379</v>
      </c>
      <c r="K35" s="190"/>
    </row>
    <row r="36" spans="3:13">
      <c r="K36" s="115">
        <f>SUM(L34+M34)-K34</f>
        <v>0.3569444444444444</v>
      </c>
      <c r="L36" s="115">
        <v>0.35833333333333334</v>
      </c>
    </row>
    <row r="37" spans="3:13">
      <c r="L37" s="115">
        <f>L36/16</f>
        <v>2.2395833333333334E-2</v>
      </c>
    </row>
  </sheetData>
  <mergeCells count="1">
    <mergeCell ref="C26:F35"/>
  </mergeCells>
  <phoneticPr fontId="7" type="noConversion"/>
  <dataValidations count="1">
    <dataValidation type="list" allowBlank="1" showInputMessage="1" showErrorMessage="1" sqref="F6:F21" xr:uid="{36DFF9FB-DF80-DB49-9147-1254FB0D8C7D}">
      <formula1>$N$9:$N$28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Produtos</vt:lpstr>
      <vt:lpstr>Embalagem</vt:lpstr>
      <vt:lpstr>Impressoras</vt:lpstr>
      <vt:lpstr>Outros</vt:lpstr>
      <vt:lpstr>Filamentos</vt:lpstr>
      <vt:lpstr>DRE</vt:lpstr>
      <vt:lpstr>Cadastro de 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Everton Câmara de Castro</dc:creator>
  <cp:keywords/>
  <dc:description/>
  <cp:lastModifiedBy>Everton Câmara de Castro</cp:lastModifiedBy>
  <cp:revision/>
  <dcterms:created xsi:type="dcterms:W3CDTF">2026-02-08T21:41:59Z</dcterms:created>
  <dcterms:modified xsi:type="dcterms:W3CDTF">2026-03-18T15:09:27Z</dcterms:modified>
  <cp:category/>
  <cp:contentStatus/>
</cp:coreProperties>
</file>