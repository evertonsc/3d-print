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ngconsti-my.sharepoint.com/personal/everton_portaldesuporte_com_br/Documents/1-Tom Studio 3D/Administrativo/Financeiro/"/>
    </mc:Choice>
  </mc:AlternateContent>
  <xr:revisionPtr revIDLastSave="1247" documentId="8_{F1D91DD9-92BE-47A1-86E8-3DF9677ACB69}" xr6:coauthVersionLast="47" xr6:coauthVersionMax="47" xr10:uidLastSave="{DB5EA24E-95B3-8B4A-A8DB-7CF4835F4231}"/>
  <bookViews>
    <workbookView xWindow="0" yWindow="600" windowWidth="28800" windowHeight="17400" activeTab="2" xr2:uid="{BC6A4737-9B9B-4BDC-B475-7711CFC9AA9A}"/>
  </bookViews>
  <sheets>
    <sheet name="Orçamentos" sheetId="9" r:id="rId1"/>
    <sheet name="Vendas" sheetId="8" r:id="rId2"/>
    <sheet name="Produtos" sheetId="1" r:id="rId3"/>
    <sheet name="Estoque" sheetId="2" r:id="rId4"/>
    <sheet name="Impressoras" sheetId="3" r:id="rId5"/>
    <sheet name="Outros" sheetId="4" r:id="rId6"/>
    <sheet name="Filamentos" sheetId="5" r:id="rId7"/>
    <sheet name="DRE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8" i="1" l="1"/>
  <c r="K58" i="1"/>
  <c r="L58" i="1"/>
  <c r="B58" i="1"/>
  <c r="J58" i="1"/>
  <c r="H44" i="9" a="1"/>
  <c r="H44" i="9" s="1"/>
  <c r="I44" i="9" s="1"/>
  <c r="J44" i="9" s="1"/>
  <c r="M44" i="9" s="1"/>
  <c r="H45" i="9" a="1"/>
  <c r="H45" i="9" s="1"/>
  <c r="I45" i="9" s="1"/>
  <c r="J45" i="9" s="1"/>
  <c r="M45" i="9" s="1"/>
  <c r="H46" i="9" a="1"/>
  <c r="H46" i="9" s="1"/>
  <c r="I46" i="9" s="1"/>
  <c r="J46" i="9" s="1"/>
  <c r="M46" i="9" s="1"/>
  <c r="H47" i="9" a="1"/>
  <c r="H47" i="9" s="1"/>
  <c r="I47" i="9" s="1"/>
  <c r="J47" i="9" s="1"/>
  <c r="M47" i="9" s="1"/>
  <c r="H48" i="9" a="1"/>
  <c r="H48" i="9" s="1"/>
  <c r="I48" i="9" s="1"/>
  <c r="J48" i="9" s="1"/>
  <c r="N57" i="1"/>
  <c r="K57" i="1"/>
  <c r="L57" i="1"/>
  <c r="B57" i="1"/>
  <c r="J57" i="1"/>
  <c r="N56" i="1"/>
  <c r="L56" i="1"/>
  <c r="K56" i="1"/>
  <c r="B56" i="1"/>
  <c r="J56" i="1"/>
  <c r="B41" i="9"/>
  <c r="B42" i="9"/>
  <c r="B43" i="9"/>
  <c r="B44" i="9"/>
  <c r="B45" i="9"/>
  <c r="B46" i="9"/>
  <c r="B47" i="9"/>
  <c r="B48" i="9"/>
  <c r="M48" i="9"/>
  <c r="N55" i="1"/>
  <c r="K55" i="1"/>
  <c r="L55" i="1"/>
  <c r="B55" i="1"/>
  <c r="J55" i="1"/>
  <c r="N54" i="1"/>
  <c r="K54" i="1"/>
  <c r="L54" i="1"/>
  <c r="B54" i="1"/>
  <c r="J54" i="1"/>
  <c r="N53" i="1"/>
  <c r="K53" i="1"/>
  <c r="L53" i="1"/>
  <c r="B53" i="1"/>
  <c r="J53" i="1"/>
  <c r="N52" i="1"/>
  <c r="K52" i="1"/>
  <c r="L52" i="1"/>
  <c r="B52" i="1"/>
  <c r="J52" i="1"/>
  <c r="N51" i="1"/>
  <c r="K51" i="1"/>
  <c r="L51" i="1"/>
  <c r="B51" i="1"/>
  <c r="J51" i="1"/>
  <c r="N50" i="1"/>
  <c r="K50" i="1"/>
  <c r="L50" i="1"/>
  <c r="B50" i="1"/>
  <c r="J50" i="1"/>
  <c r="B35" i="9"/>
  <c r="B36" i="9"/>
  <c r="B37" i="9"/>
  <c r="B38" i="9"/>
  <c r="B39" i="9"/>
  <c r="B40" i="9"/>
  <c r="N49" i="1"/>
  <c r="K49" i="1"/>
  <c r="L49" i="1"/>
  <c r="B49" i="1"/>
  <c r="J49" i="1"/>
  <c r="N48" i="1"/>
  <c r="K48" i="1"/>
  <c r="L48" i="1"/>
  <c r="B48" i="1"/>
  <c r="J48" i="1"/>
  <c r="B33" i="9"/>
  <c r="B34" i="9"/>
  <c r="B32" i="9"/>
  <c r="N47" i="1"/>
  <c r="K47" i="1"/>
  <c r="L47" i="1"/>
  <c r="B47" i="1"/>
  <c r="J47" i="1"/>
  <c r="B31" i="9"/>
  <c r="N46" i="1"/>
  <c r="K46" i="1"/>
  <c r="L46" i="1"/>
  <c r="B46" i="1"/>
  <c r="J46" i="1"/>
  <c r="K45" i="1"/>
  <c r="L45" i="1"/>
  <c r="N45" i="1"/>
  <c r="I31" i="4"/>
  <c r="F45" i="1"/>
  <c r="J45" i="1" s="1"/>
  <c r="B45" i="1"/>
  <c r="B30" i="9"/>
  <c r="N44" i="1"/>
  <c r="K44" i="1"/>
  <c r="L44" i="1"/>
  <c r="B44" i="1"/>
  <c r="J44" i="1"/>
  <c r="B29" i="9"/>
  <c r="N43" i="1"/>
  <c r="K43" i="1"/>
  <c r="L43" i="1"/>
  <c r="B43" i="1"/>
  <c r="J43" i="1"/>
  <c r="B28" i="9"/>
  <c r="B27" i="9"/>
  <c r="B26" i="9"/>
  <c r="N42" i="1"/>
  <c r="K42" i="1"/>
  <c r="L42" i="1"/>
  <c r="B42" i="1"/>
  <c r="J42" i="1"/>
  <c r="B25" i="9"/>
  <c r="F41" i="1"/>
  <c r="N41" i="1"/>
  <c r="K41" i="1"/>
  <c r="L41" i="1"/>
  <c r="B41" i="1"/>
  <c r="J41" i="1"/>
  <c r="F40" i="1"/>
  <c r="J40" i="1" s="1"/>
  <c r="N40" i="1"/>
  <c r="K40" i="1"/>
  <c r="L40" i="1"/>
  <c r="B40" i="1"/>
  <c r="I39" i="1"/>
  <c r="N39" i="1"/>
  <c r="K39" i="1"/>
  <c r="L39" i="1"/>
  <c r="B39" i="1"/>
  <c r="J39" i="1"/>
  <c r="N38" i="1"/>
  <c r="K38" i="1"/>
  <c r="L38" i="1"/>
  <c r="B38" i="1"/>
  <c r="J38" i="1"/>
  <c r="N37" i="1"/>
  <c r="K37" i="1"/>
  <c r="L37" i="1"/>
  <c r="I37" i="1"/>
  <c r="B37" i="1"/>
  <c r="J37" i="1"/>
  <c r="N36" i="1"/>
  <c r="K36" i="1"/>
  <c r="L36" i="1"/>
  <c r="B36" i="1"/>
  <c r="J36" i="1"/>
  <c r="N35" i="1"/>
  <c r="L35" i="1"/>
  <c r="K35" i="1"/>
  <c r="B35" i="1"/>
  <c r="J35" i="1"/>
  <c r="N34" i="1"/>
  <c r="L34" i="1"/>
  <c r="K34" i="1"/>
  <c r="B34" i="1"/>
  <c r="J34" i="1"/>
  <c r="N33" i="1"/>
  <c r="K33" i="1"/>
  <c r="L33" i="1"/>
  <c r="B33" i="1"/>
  <c r="J33" i="1"/>
  <c r="N32" i="1"/>
  <c r="K32" i="1"/>
  <c r="L32" i="1"/>
  <c r="B32" i="1"/>
  <c r="J32" i="1"/>
  <c r="K31" i="1"/>
  <c r="L31" i="1"/>
  <c r="N31" i="1"/>
  <c r="B31" i="1"/>
  <c r="J31" i="1"/>
  <c r="F30" i="1"/>
  <c r="J30" i="1" s="1"/>
  <c r="N30" i="1"/>
  <c r="K30" i="1"/>
  <c r="L30" i="1"/>
  <c r="B30" i="1"/>
  <c r="N29" i="1"/>
  <c r="K29" i="1"/>
  <c r="L29" i="1"/>
  <c r="B29" i="1"/>
  <c r="J29" i="1"/>
  <c r="N28" i="1"/>
  <c r="L28" i="1"/>
  <c r="K28" i="1"/>
  <c r="F28" i="1"/>
  <c r="J28" i="1" s="1"/>
  <c r="B28" i="1"/>
  <c r="B17" i="8"/>
  <c r="B18" i="8"/>
  <c r="B19" i="8"/>
  <c r="B20" i="8"/>
  <c r="H20" i="8" s="1" a="1"/>
  <c r="H20" i="8" s="1"/>
  <c r="B21" i="8"/>
  <c r="H21" i="8" s="1" a="1"/>
  <c r="H21" i="8" s="1"/>
  <c r="B22" i="8"/>
  <c r="H22" i="8" s="1" a="1"/>
  <c r="H22" i="8" s="1"/>
  <c r="B23" i="8"/>
  <c r="H23" i="8" s="1" a="1"/>
  <c r="H23" i="8" s="1"/>
  <c r="B24" i="8"/>
  <c r="H24" i="8" s="1" a="1"/>
  <c r="H24" i="8" s="1"/>
  <c r="H25" i="8" a="1"/>
  <c r="H25" i="8" s="1"/>
  <c r="H26" i="8" a="1"/>
  <c r="H26" i="8" s="1"/>
  <c r="H27" i="8" a="1"/>
  <c r="H27" i="8" s="1"/>
  <c r="H28" i="8" a="1"/>
  <c r="H28" i="8" s="1"/>
  <c r="H29" i="8" a="1"/>
  <c r="H29" i="8" s="1"/>
  <c r="H30" i="8" a="1"/>
  <c r="H30" i="8" s="1"/>
  <c r="H31" i="8" a="1"/>
  <c r="H31" i="8" s="1"/>
  <c r="H32" i="8" a="1"/>
  <c r="H32" i="8" s="1"/>
  <c r="B24" i="1"/>
  <c r="B25" i="1"/>
  <c r="B26" i="1"/>
  <c r="B27" i="1"/>
  <c r="F17" i="1"/>
  <c r="F16" i="1"/>
  <c r="F12" i="1"/>
  <c r="F11" i="1"/>
  <c r="O53" i="1" l="1"/>
  <c r="P53" i="1" s="1"/>
  <c r="M53" i="1" s="1"/>
  <c r="O43" i="1"/>
  <c r="P43" i="1" s="1"/>
  <c r="M43" i="1" s="1"/>
  <c r="O42" i="1"/>
  <c r="O56" i="1"/>
  <c r="P56" i="1" s="1"/>
  <c r="M56" i="1" s="1"/>
  <c r="O47" i="1"/>
  <c r="P47" i="1" s="1"/>
  <c r="M47" i="1" s="1"/>
  <c r="O52" i="1"/>
  <c r="P52" i="1" s="1"/>
  <c r="M52" i="1" s="1"/>
  <c r="O58" i="1"/>
  <c r="P58" i="1" s="1"/>
  <c r="M58" i="1" s="1"/>
  <c r="O51" i="1"/>
  <c r="P51" i="1" s="1"/>
  <c r="M51" i="1" s="1"/>
  <c r="O54" i="1"/>
  <c r="P54" i="1" s="1"/>
  <c r="M54" i="1" s="1"/>
  <c r="O49" i="1"/>
  <c r="P49" i="1" s="1"/>
  <c r="M49" i="1" s="1"/>
  <c r="O55" i="1"/>
  <c r="P55" i="1" s="1"/>
  <c r="M55" i="1" s="1"/>
  <c r="O33" i="1"/>
  <c r="P33" i="1" s="1"/>
  <c r="M33" i="1" s="1"/>
  <c r="O36" i="1"/>
  <c r="P36" i="1" s="1"/>
  <c r="M36" i="1" s="1"/>
  <c r="O57" i="1"/>
  <c r="P57" i="1" s="1"/>
  <c r="M57" i="1" s="1"/>
  <c r="O50" i="1"/>
  <c r="P50" i="1" s="1"/>
  <c r="M50" i="1"/>
  <c r="O48" i="1"/>
  <c r="P48" i="1" s="1"/>
  <c r="M48" i="1" s="1"/>
  <c r="O46" i="1"/>
  <c r="P46" i="1" s="1"/>
  <c r="M46" i="1" s="1"/>
  <c r="O45" i="1"/>
  <c r="P45" i="1" s="1"/>
  <c r="M45" i="1" s="1"/>
  <c r="O44" i="1"/>
  <c r="P44" i="1" s="1"/>
  <c r="P42" i="1"/>
  <c r="M42" i="1" s="1"/>
  <c r="O41" i="1"/>
  <c r="P41" i="1" s="1"/>
  <c r="M41" i="1" s="1"/>
  <c r="O40" i="1"/>
  <c r="P40" i="1" s="1"/>
  <c r="M40" i="1" s="1"/>
  <c r="O39" i="1"/>
  <c r="P39" i="1" s="1"/>
  <c r="M39" i="1" s="1"/>
  <c r="O38" i="1"/>
  <c r="P38" i="1" s="1"/>
  <c r="M38" i="1" s="1"/>
  <c r="O37" i="1"/>
  <c r="P37" i="1" s="1"/>
  <c r="M37" i="1" s="1"/>
  <c r="O35" i="1"/>
  <c r="P35" i="1" s="1"/>
  <c r="M35" i="1" s="1"/>
  <c r="O34" i="1"/>
  <c r="P34" i="1" s="1"/>
  <c r="M34" i="1" s="1"/>
  <c r="O32" i="1"/>
  <c r="O30" i="1"/>
  <c r="P30" i="1" s="1"/>
  <c r="M30" i="1" s="1"/>
  <c r="O31" i="1"/>
  <c r="P31" i="1" s="1"/>
  <c r="M31" i="1" s="1"/>
  <c r="P32" i="1"/>
  <c r="M32" i="1" s="1"/>
  <c r="O29" i="1"/>
  <c r="P29" i="1" s="1"/>
  <c r="M29" i="1" s="1"/>
  <c r="O28" i="1"/>
  <c r="P28" i="1" s="1"/>
  <c r="M28" i="1" s="1"/>
  <c r="B25" i="8"/>
  <c r="B26" i="8"/>
  <c r="B27" i="8"/>
  <c r="B28" i="8"/>
  <c r="I28" i="8" s="1"/>
  <c r="J28" i="8" s="1"/>
  <c r="B29" i="8"/>
  <c r="I29" i="8" s="1"/>
  <c r="J29" i="8" s="1"/>
  <c r="B30" i="8"/>
  <c r="I30" i="8" s="1"/>
  <c r="J30" i="8" s="1"/>
  <c r="B31" i="8"/>
  <c r="B32" i="8"/>
  <c r="I32" i="8" s="1"/>
  <c r="J32" i="8" s="1"/>
  <c r="I25" i="8"/>
  <c r="J25" i="8" s="1"/>
  <c r="I26" i="8"/>
  <c r="J26" i="8" s="1"/>
  <c r="I27" i="8"/>
  <c r="J27" i="8" s="1"/>
  <c r="I31" i="8"/>
  <c r="J31" i="8" s="1"/>
  <c r="M25" i="8"/>
  <c r="M26" i="8"/>
  <c r="M27" i="8"/>
  <c r="M28" i="8"/>
  <c r="M29" i="8"/>
  <c r="M30" i="8"/>
  <c r="M31" i="8"/>
  <c r="M32" i="8"/>
  <c r="J7" i="1"/>
  <c r="J8" i="1"/>
  <c r="J9" i="1"/>
  <c r="J10" i="1"/>
  <c r="J11" i="1"/>
  <c r="J12" i="1"/>
  <c r="J13" i="1"/>
  <c r="J14" i="1"/>
  <c r="J15" i="1"/>
  <c r="J16" i="1"/>
  <c r="J17" i="1"/>
  <c r="J20" i="1"/>
  <c r="J21" i="1"/>
  <c r="J22" i="1"/>
  <c r="J23" i="1"/>
  <c r="J24" i="1"/>
  <c r="J25" i="1"/>
  <c r="J26" i="1"/>
  <c r="J27" i="1"/>
  <c r="B24" i="9"/>
  <c r="B23" i="9"/>
  <c r="M22" i="9"/>
  <c r="B22" i="9"/>
  <c r="M21" i="9"/>
  <c r="B21" i="9"/>
  <c r="M20" i="9"/>
  <c r="B20" i="9"/>
  <c r="M19" i="9"/>
  <c r="B19" i="9"/>
  <c r="B18" i="9"/>
  <c r="M17" i="9"/>
  <c r="B17" i="9"/>
  <c r="B16" i="9"/>
  <c r="B15" i="9"/>
  <c r="B14" i="9"/>
  <c r="B13" i="9"/>
  <c r="B12" i="9"/>
  <c r="B11" i="9"/>
  <c r="M10" i="9"/>
  <c r="B10" i="9"/>
  <c r="B9" i="9"/>
  <c r="M8" i="9"/>
  <c r="B8" i="9"/>
  <c r="M7" i="9"/>
  <c r="B7" i="9"/>
  <c r="B7" i="8"/>
  <c r="B8" i="8"/>
  <c r="B9" i="8"/>
  <c r="B10" i="8"/>
  <c r="B11" i="8"/>
  <c r="B12" i="8"/>
  <c r="B13" i="8"/>
  <c r="B14" i="8"/>
  <c r="B15" i="8"/>
  <c r="B16" i="8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J19" i="1"/>
  <c r="J18" i="1"/>
  <c r="A8" i="6"/>
  <c r="A18" i="6"/>
  <c r="A17" i="6"/>
  <c r="A16" i="6"/>
  <c r="A15" i="6"/>
  <c r="A14" i="6"/>
  <c r="A13" i="6"/>
  <c r="A12" i="6"/>
  <c r="A11" i="6"/>
  <c r="A10" i="6"/>
  <c r="A9" i="6"/>
  <c r="A7" i="6"/>
  <c r="A6" i="6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7" i="1"/>
  <c r="G2" i="3"/>
  <c r="G3" i="3"/>
  <c r="H2" i="5"/>
  <c r="H3" i="5"/>
  <c r="H4" i="5"/>
  <c r="H5" i="5"/>
  <c r="H6" i="5"/>
  <c r="C3" i="4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Q12" i="2"/>
  <c r="D12" i="2"/>
  <c r="Q11" i="2"/>
  <c r="D11" i="2"/>
  <c r="Q10" i="2"/>
  <c r="D10" i="2"/>
  <c r="Q9" i="2"/>
  <c r="D9" i="2"/>
  <c r="Q8" i="2"/>
  <c r="D8" i="2"/>
  <c r="Y7" i="2"/>
  <c r="U7" i="2"/>
  <c r="D7" i="2"/>
  <c r="Y6" i="2"/>
  <c r="U6" i="2"/>
  <c r="Q6" i="2"/>
  <c r="D6" i="2"/>
  <c r="Q5" i="2"/>
  <c r="D5" i="2"/>
  <c r="Q4" i="2"/>
  <c r="D4" i="2"/>
  <c r="Y3" i="2"/>
  <c r="Q3" i="2"/>
  <c r="U3" i="2" s="1"/>
  <c r="D3" i="2"/>
  <c r="Q2" i="2"/>
  <c r="D2" i="2"/>
  <c r="H39" i="9" l="1" a="1"/>
  <c r="H39" i="9" s="1"/>
  <c r="H33" i="9" a="1"/>
  <c r="H33" i="9" s="1"/>
  <c r="I33" i="9" s="1"/>
  <c r="J33" i="9" s="1"/>
  <c r="M33" i="9" s="1"/>
  <c r="H37" i="9" a="1"/>
  <c r="H37" i="9" s="1"/>
  <c r="H36" i="9" a="1"/>
  <c r="H36" i="9" s="1"/>
  <c r="H41" i="9" a="1"/>
  <c r="H41" i="9" s="1"/>
  <c r="I41" i="9" s="1"/>
  <c r="J41" i="9" s="1"/>
  <c r="M41" i="9" s="1"/>
  <c r="H29" i="9" a="1"/>
  <c r="H29" i="9" s="1"/>
  <c r="I29" i="9" s="1"/>
  <c r="J29" i="9" s="1"/>
  <c r="M29" i="9" s="1"/>
  <c r="H42" i="9" a="1"/>
  <c r="H42" i="9" s="1"/>
  <c r="I42" i="9" s="1"/>
  <c r="J42" i="9" s="1"/>
  <c r="M42" i="9" s="1"/>
  <c r="H35" i="9" a="1"/>
  <c r="H35" i="9" s="1"/>
  <c r="I35" i="9" s="1"/>
  <c r="J35" i="9" s="1"/>
  <c r="M35" i="9" s="1"/>
  <c r="H34" i="9" a="1"/>
  <c r="H34" i="9" s="1"/>
  <c r="I34" i="9" s="1"/>
  <c r="J34" i="9" s="1"/>
  <c r="M34" i="9" s="1"/>
  <c r="H40" i="9" a="1"/>
  <c r="H40" i="9" s="1"/>
  <c r="H25" i="9" a="1"/>
  <c r="H25" i="9" s="1"/>
  <c r="I25" i="9" s="1"/>
  <c r="J25" i="9" s="1"/>
  <c r="M25" i="9" s="1"/>
  <c r="H43" i="9" a="1"/>
  <c r="H43" i="9" s="1"/>
  <c r="I43" i="9" s="1"/>
  <c r="J43" i="9" s="1"/>
  <c r="M43" i="9" s="1"/>
  <c r="H30" i="9" a="1"/>
  <c r="H30" i="9" s="1"/>
  <c r="I30" i="9" s="1"/>
  <c r="H32" i="9" a="1"/>
  <c r="H32" i="9" s="1"/>
  <c r="I32" i="9" s="1"/>
  <c r="J32" i="9" s="1"/>
  <c r="M32" i="9" s="1"/>
  <c r="H38" i="9" a="1"/>
  <c r="H38" i="9" s="1"/>
  <c r="H31" i="9" a="1"/>
  <c r="H31" i="9" s="1"/>
  <c r="I31" i="9" s="1"/>
  <c r="J31" i="9" s="1"/>
  <c r="M31" i="9" s="1"/>
  <c r="I36" i="9"/>
  <c r="J36" i="9" s="1"/>
  <c r="M36" i="9" s="1"/>
  <c r="I40" i="9"/>
  <c r="J40" i="9" s="1"/>
  <c r="M40" i="9" s="1"/>
  <c r="I39" i="9"/>
  <c r="J39" i="9" s="1"/>
  <c r="M39" i="9" s="1"/>
  <c r="I38" i="9"/>
  <c r="J38" i="9" s="1"/>
  <c r="M38" i="9" s="1"/>
  <c r="I37" i="9"/>
  <c r="J37" i="9" s="1"/>
  <c r="M37" i="9" s="1"/>
  <c r="M44" i="1"/>
  <c r="J30" i="9"/>
  <c r="M30" i="9" s="1"/>
  <c r="H17" i="9" a="1"/>
  <c r="H17" i="9" s="1"/>
  <c r="H18" i="9" a="1"/>
  <c r="H18" i="9" s="1"/>
  <c r="H21" i="9" a="1"/>
  <c r="H21" i="9" s="1"/>
  <c r="I21" i="9" s="1"/>
  <c r="H19" i="9" a="1"/>
  <c r="H19" i="9" s="1"/>
  <c r="I19" i="9" s="1"/>
  <c r="H24" i="9" a="1"/>
  <c r="H24" i="9" s="1"/>
  <c r="I24" i="9" s="1"/>
  <c r="H20" i="9" a="1"/>
  <c r="H20" i="9" s="1"/>
  <c r="I20" i="9" s="1"/>
  <c r="H22" i="9" a="1"/>
  <c r="H22" i="9" s="1"/>
  <c r="I22" i="9" s="1"/>
  <c r="J22" i="9" s="1"/>
  <c r="H27" i="9" a="1"/>
  <c r="H27" i="9" s="1"/>
  <c r="I27" i="9" s="1"/>
  <c r="J27" i="9" s="1"/>
  <c r="M27" i="9" s="1"/>
  <c r="H26" i="9" a="1"/>
  <c r="H26" i="9" s="1"/>
  <c r="I26" i="9" s="1"/>
  <c r="J26" i="9" s="1"/>
  <c r="M26" i="9" s="1"/>
  <c r="H16" i="9" a="1"/>
  <c r="H16" i="9" s="1"/>
  <c r="I16" i="9" s="1"/>
  <c r="J16" i="9" s="1"/>
  <c r="M16" i="9" s="1"/>
  <c r="H28" i="9" a="1"/>
  <c r="H28" i="9" s="1"/>
  <c r="I28" i="9" s="1"/>
  <c r="J28" i="9" s="1"/>
  <c r="M28" i="9" s="1"/>
  <c r="H23" i="9" a="1"/>
  <c r="H23" i="9" s="1"/>
  <c r="I23" i="9" s="1"/>
  <c r="J23" i="9" s="1"/>
  <c r="M23" i="9" s="1"/>
  <c r="H8" i="9" a="1"/>
  <c r="H8" i="9" s="1"/>
  <c r="I8" i="9" s="1"/>
  <c r="J8" i="9" s="1"/>
  <c r="H11" i="9" a="1"/>
  <c r="H11" i="9" s="1"/>
  <c r="I11" i="9" s="1"/>
  <c r="J11" i="9" s="1"/>
  <c r="M11" i="9" s="1"/>
  <c r="H12" i="9" a="1"/>
  <c r="H12" i="9" s="1"/>
  <c r="I12" i="9" s="1"/>
  <c r="J12" i="9" s="1"/>
  <c r="M12" i="9" s="1"/>
  <c r="H13" i="9" a="1"/>
  <c r="H13" i="9" s="1"/>
  <c r="I13" i="9" s="1"/>
  <c r="J13" i="9" s="1"/>
  <c r="M13" i="9" s="1"/>
  <c r="H15" i="9" a="1"/>
  <c r="H15" i="9" s="1"/>
  <c r="I15" i="9" s="1"/>
  <c r="J15" i="9" s="1"/>
  <c r="M15" i="9" s="1"/>
  <c r="H19" i="8" a="1"/>
  <c r="H19" i="8" s="1"/>
  <c r="H17" i="8" a="1"/>
  <c r="H17" i="8" s="1"/>
  <c r="H14" i="8" a="1"/>
  <c r="H14" i="8" s="1"/>
  <c r="H10" i="9" a="1"/>
  <c r="H10" i="9" s="1"/>
  <c r="I10" i="9" s="1"/>
  <c r="J10" i="9" s="1"/>
  <c r="H9" i="9" a="1"/>
  <c r="H9" i="9" s="1"/>
  <c r="I9" i="9" s="1"/>
  <c r="J9" i="9" s="1"/>
  <c r="M9" i="9" s="1"/>
  <c r="J20" i="9"/>
  <c r="J21" i="9"/>
  <c r="J19" i="9"/>
  <c r="J24" i="9"/>
  <c r="I17" i="9"/>
  <c r="J17" i="9" s="1"/>
  <c r="I18" i="9"/>
  <c r="J18" i="9" s="1"/>
  <c r="M18" i="9" s="1"/>
  <c r="I24" i="8"/>
  <c r="H8" i="8" a="1"/>
  <c r="H8" i="8" s="1"/>
  <c r="O17" i="1"/>
  <c r="P17" i="1" s="1"/>
  <c r="H15" i="8" s="1" a="1"/>
  <c r="H15" i="8" s="1"/>
  <c r="O21" i="1"/>
  <c r="P21" i="1" s="1"/>
  <c r="O18" i="1"/>
  <c r="P18" i="1" s="1"/>
  <c r="O26" i="1"/>
  <c r="P26" i="1" s="1"/>
  <c r="O23" i="1"/>
  <c r="P23" i="1" s="1"/>
  <c r="O22" i="1"/>
  <c r="P22" i="1" s="1"/>
  <c r="O20" i="1"/>
  <c r="P20" i="1" s="1"/>
  <c r="O19" i="1"/>
  <c r="P19" i="1" s="1"/>
  <c r="H16" i="8" s="1" a="1"/>
  <c r="H16" i="8" s="1"/>
  <c r="O15" i="1"/>
  <c r="P15" i="1" s="1"/>
  <c r="O27" i="1"/>
  <c r="P27" i="1" s="1"/>
  <c r="M27" i="1" s="1"/>
  <c r="O25" i="1"/>
  <c r="P25" i="1" s="1"/>
  <c r="M25" i="1" s="1"/>
  <c r="O24" i="1"/>
  <c r="P24" i="1" s="1"/>
  <c r="M24" i="1" s="1"/>
  <c r="O16" i="1"/>
  <c r="P16" i="1" s="1"/>
  <c r="O14" i="1"/>
  <c r="P14" i="1" s="1"/>
  <c r="O12" i="1"/>
  <c r="P12" i="1" s="1"/>
  <c r="H12" i="8" s="1" a="1"/>
  <c r="H12" i="8" s="1"/>
  <c r="O11" i="1"/>
  <c r="P11" i="1" s="1"/>
  <c r="H11" i="8" s="1" a="1"/>
  <c r="H11" i="8" s="1"/>
  <c r="O10" i="1"/>
  <c r="P10" i="1" s="1"/>
  <c r="H10" i="8" s="1" a="1"/>
  <c r="H10" i="8" s="1"/>
  <c r="O9" i="1"/>
  <c r="P9" i="1" s="1"/>
  <c r="O8" i="1"/>
  <c r="P8" i="1" s="1"/>
  <c r="O7" i="1"/>
  <c r="P7" i="1" s="1"/>
  <c r="I8" i="6"/>
  <c r="H8" i="6"/>
  <c r="D8" i="6"/>
  <c r="E8" i="6"/>
  <c r="F8" i="6"/>
  <c r="G8" i="6"/>
  <c r="J8" i="6" s="1"/>
  <c r="B8" i="6"/>
  <c r="K8" i="6"/>
  <c r="C8" i="6"/>
  <c r="K18" i="6"/>
  <c r="F18" i="6"/>
  <c r="I18" i="6"/>
  <c r="G18" i="6"/>
  <c r="J18" i="6" s="1"/>
  <c r="E18" i="6"/>
  <c r="H18" i="6"/>
  <c r="D18" i="6"/>
  <c r="C18" i="6"/>
  <c r="B18" i="6"/>
  <c r="I17" i="6"/>
  <c r="K17" i="6"/>
  <c r="B17" i="6"/>
  <c r="G17" i="6"/>
  <c r="J17" i="6" s="1"/>
  <c r="H17" i="6"/>
  <c r="C17" i="6"/>
  <c r="F17" i="6"/>
  <c r="E17" i="6"/>
  <c r="D17" i="6"/>
  <c r="G16" i="6"/>
  <c r="J16" i="6" s="1"/>
  <c r="E16" i="6"/>
  <c r="D16" i="6"/>
  <c r="H16" i="6"/>
  <c r="C16" i="6"/>
  <c r="B16" i="6"/>
  <c r="I16" i="6"/>
  <c r="F16" i="6"/>
  <c r="K16" i="6"/>
  <c r="I15" i="6"/>
  <c r="B15" i="6"/>
  <c r="F15" i="6"/>
  <c r="H15" i="6"/>
  <c r="E15" i="6"/>
  <c r="G15" i="6"/>
  <c r="J15" i="6" s="1"/>
  <c r="C15" i="6"/>
  <c r="K15" i="6"/>
  <c r="D15" i="6"/>
  <c r="D14" i="6"/>
  <c r="K14" i="6"/>
  <c r="E14" i="6"/>
  <c r="I14" i="6"/>
  <c r="F14" i="6"/>
  <c r="B14" i="6"/>
  <c r="H14" i="6"/>
  <c r="G14" i="6"/>
  <c r="J14" i="6" s="1"/>
  <c r="C14" i="6"/>
  <c r="B13" i="6"/>
  <c r="K13" i="6"/>
  <c r="C13" i="6"/>
  <c r="G13" i="6"/>
  <c r="J13" i="6" s="1"/>
  <c r="F13" i="6"/>
  <c r="H13" i="6"/>
  <c r="I13" i="6"/>
  <c r="E13" i="6"/>
  <c r="D13" i="6"/>
  <c r="G12" i="6"/>
  <c r="J12" i="6" s="1"/>
  <c r="C12" i="6"/>
  <c r="H12" i="6"/>
  <c r="K12" i="6"/>
  <c r="B12" i="6"/>
  <c r="E12" i="6"/>
  <c r="I12" i="6"/>
  <c r="D12" i="6"/>
  <c r="F12" i="6"/>
  <c r="B11" i="6"/>
  <c r="F11" i="6"/>
  <c r="K11" i="6"/>
  <c r="G11" i="6"/>
  <c r="J11" i="6" s="1"/>
  <c r="I11" i="6"/>
  <c r="C11" i="6"/>
  <c r="D11" i="6"/>
  <c r="H11" i="6"/>
  <c r="E11" i="6"/>
  <c r="E10" i="6"/>
  <c r="K10" i="6"/>
  <c r="H10" i="6"/>
  <c r="B10" i="6"/>
  <c r="I10" i="6"/>
  <c r="G10" i="6"/>
  <c r="J10" i="6" s="1"/>
  <c r="F10" i="6"/>
  <c r="D10" i="6"/>
  <c r="C10" i="6"/>
  <c r="F9" i="6"/>
  <c r="K9" i="6"/>
  <c r="G9" i="6"/>
  <c r="J9" i="6" s="1"/>
  <c r="I9" i="6"/>
  <c r="H9" i="6"/>
  <c r="B9" i="6"/>
  <c r="D9" i="6"/>
  <c r="E9" i="6"/>
  <c r="C9" i="6"/>
  <c r="E7" i="6"/>
  <c r="I7" i="6"/>
  <c r="H7" i="6"/>
  <c r="C7" i="6"/>
  <c r="D7" i="6"/>
  <c r="G7" i="6"/>
  <c r="J7" i="6" s="1"/>
  <c r="F7" i="6"/>
  <c r="K7" i="6"/>
  <c r="B7" i="6"/>
  <c r="D6" i="6"/>
  <c r="D19" i="6" s="1"/>
  <c r="F6" i="6"/>
  <c r="F19" i="6" s="1"/>
  <c r="K6" i="6"/>
  <c r="K19" i="6" s="1"/>
  <c r="B6" i="6"/>
  <c r="B19" i="6" s="1"/>
  <c r="H6" i="6"/>
  <c r="H19" i="6" s="1"/>
  <c r="C6" i="6"/>
  <c r="C19" i="6" s="1"/>
  <c r="I6" i="6"/>
  <c r="E6" i="6"/>
  <c r="E19" i="6" s="1"/>
  <c r="N19" i="6"/>
  <c r="U5" i="2"/>
  <c r="Y5" i="2"/>
  <c r="Y4" i="2"/>
  <c r="U4" i="2"/>
  <c r="M24" i="9" l="1"/>
  <c r="H14" i="9" a="1"/>
  <c r="H14" i="9" s="1"/>
  <c r="I14" i="9" s="1"/>
  <c r="J14" i="9" s="1"/>
  <c r="M14" i="9" s="1"/>
  <c r="M26" i="1"/>
  <c r="H18" i="8" a="1"/>
  <c r="H18" i="8" s="1"/>
  <c r="I18" i="8" s="1"/>
  <c r="J18" i="8" s="1"/>
  <c r="H9" i="8" a="1"/>
  <c r="H9" i="8" s="1"/>
  <c r="I9" i="8" s="1"/>
  <c r="I19" i="6"/>
  <c r="H7" i="8" a="1"/>
  <c r="H7" i="8" s="1"/>
  <c r="I7" i="8" s="1"/>
  <c r="J7" i="8" s="1"/>
  <c r="H7" i="9" a="1"/>
  <c r="H7" i="9" s="1"/>
  <c r="I7" i="9" s="1"/>
  <c r="J7" i="9" s="1"/>
  <c r="I23" i="8"/>
  <c r="J23" i="8" s="1"/>
  <c r="M23" i="1"/>
  <c r="M23" i="8"/>
  <c r="J24" i="8"/>
  <c r="M21" i="1"/>
  <c r="I21" i="8"/>
  <c r="M20" i="1"/>
  <c r="I20" i="8"/>
  <c r="M10" i="1"/>
  <c r="I10" i="8"/>
  <c r="M11" i="1"/>
  <c r="I11" i="8"/>
  <c r="J11" i="8" s="1"/>
  <c r="M17" i="1"/>
  <c r="I17" i="8"/>
  <c r="J17" i="8" s="1"/>
  <c r="M12" i="1"/>
  <c r="I12" i="8"/>
  <c r="J12" i="8" s="1"/>
  <c r="M18" i="1"/>
  <c r="M16" i="1"/>
  <c r="I16" i="8"/>
  <c r="J16" i="8" s="1"/>
  <c r="M15" i="1"/>
  <c r="I15" i="8"/>
  <c r="J15" i="8" s="1"/>
  <c r="M14" i="1"/>
  <c r="I14" i="8"/>
  <c r="J14" i="8" s="1"/>
  <c r="M8" i="1"/>
  <c r="M9" i="1"/>
  <c r="M22" i="1"/>
  <c r="I22" i="8"/>
  <c r="M19" i="1"/>
  <c r="I19" i="8"/>
  <c r="J19" i="8" s="1"/>
  <c r="M7" i="1"/>
  <c r="M19" i="6"/>
  <c r="L19" i="6"/>
  <c r="M24" i="8" l="1"/>
  <c r="M11" i="8"/>
  <c r="M17" i="8"/>
  <c r="M12" i="8"/>
  <c r="M18" i="8"/>
  <c r="M16" i="8"/>
  <c r="M15" i="8"/>
  <c r="M14" i="8"/>
  <c r="M7" i="8"/>
  <c r="M19" i="8"/>
  <c r="J21" i="8"/>
  <c r="J20" i="8"/>
  <c r="J10" i="8"/>
  <c r="J9" i="8"/>
  <c r="J22" i="8"/>
  <c r="I8" i="8"/>
  <c r="G6" i="6"/>
  <c r="M21" i="8" l="1"/>
  <c r="M20" i="8"/>
  <c r="M10" i="8"/>
  <c r="M9" i="8"/>
  <c r="M22" i="8"/>
  <c r="J8" i="8"/>
  <c r="G19" i="6"/>
  <c r="J19" i="6" s="1"/>
  <c r="J6" i="6"/>
  <c r="M8" i="8" l="1"/>
  <c r="H13" i="8" a="1"/>
  <c r="H13" i="8" s="1"/>
  <c r="I13" i="8" s="1"/>
  <c r="J13" i="8" s="1"/>
  <c r="M13" i="8" s="1"/>
  <c r="K13" i="1"/>
  <c r="L13" i="1"/>
  <c r="O13" i="1" l="1"/>
  <c r="P13" i="1" s="1"/>
  <c r="M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<sst xmlns="http://schemas.openxmlformats.org/spreadsheetml/2006/main" count="516" uniqueCount="191">
  <si>
    <t>Orçamentos</t>
  </si>
  <si>
    <t>Markup</t>
  </si>
  <si>
    <t>Data</t>
  </si>
  <si>
    <t>Mês/Ano</t>
  </si>
  <si>
    <t>Cliente</t>
  </si>
  <si>
    <t>Produto</t>
  </si>
  <si>
    <t>Quantidade</t>
  </si>
  <si>
    <t>Impressora</t>
  </si>
  <si>
    <t>Filamento</t>
  </si>
  <si>
    <t>Custo Unitário</t>
  </si>
  <si>
    <t>Preço Venda Markup Unit.</t>
  </si>
  <si>
    <t>Total  Produtos</t>
  </si>
  <si>
    <t>Desconto</t>
  </si>
  <si>
    <t>Valor Vendido</t>
  </si>
  <si>
    <t>Lucro %</t>
  </si>
  <si>
    <t>Porta Velas</t>
  </si>
  <si>
    <t>Controle de Vendas</t>
  </si>
  <si>
    <t>Cristiane Mengue</t>
  </si>
  <si>
    <t>Masterprint PETG Basic</t>
  </si>
  <si>
    <t>Custos Gerais dos Produtos/Projetos</t>
  </si>
  <si>
    <t>Consumo</t>
  </si>
  <si>
    <t>Custos</t>
  </si>
  <si>
    <t>Data Cadastro</t>
  </si>
  <si>
    <t>Quantidade (g)</t>
  </si>
  <si>
    <t>Tempo (h)</t>
  </si>
  <si>
    <t>Trabalho (h)</t>
  </si>
  <si>
    <t>Insumos/Emb (R$)</t>
  </si>
  <si>
    <t>Filamento (R$)</t>
  </si>
  <si>
    <t>Eletricidade (R$)</t>
  </si>
  <si>
    <t>Depreciação (R$)</t>
  </si>
  <si>
    <t>Depreciação (%)</t>
  </si>
  <si>
    <t>Trabalho (R$)</t>
  </si>
  <si>
    <t>Taxa Falha (R$)</t>
  </si>
  <si>
    <t>Custo Unitário Total</t>
  </si>
  <si>
    <t>Tipo de Embalagem</t>
  </si>
  <si>
    <t>Valor</t>
  </si>
  <si>
    <t>Qtde. Comprada</t>
  </si>
  <si>
    <t>Valor Unitário</t>
  </si>
  <si>
    <t>Estoque Disponível</t>
  </si>
  <si>
    <t>Perda</t>
  </si>
  <si>
    <t>Tipo</t>
  </si>
  <si>
    <t>Unitário</t>
  </si>
  <si>
    <t>Embalagem Grande</t>
  </si>
  <si>
    <t>Embalagem Pequena</t>
  </si>
  <si>
    <t>Argola Chaveiro</t>
  </si>
  <si>
    <t>Almofada Colmeia </t>
  </si>
  <si>
    <t>Material</t>
  </si>
  <si>
    <t>Kit LED Bambu Lab</t>
  </si>
  <si>
    <t>Caixa Grande</t>
  </si>
  <si>
    <t>Caixa Pequena</t>
  </si>
  <si>
    <t>Fita gomada</t>
  </si>
  <si>
    <t>Etiqueta</t>
  </si>
  <si>
    <t>Caixa Fone</t>
  </si>
  <si>
    <t>Total</t>
  </si>
  <si>
    <t>Grande</t>
  </si>
  <si>
    <t>Pequena</t>
  </si>
  <si>
    <t>Fabricante</t>
  </si>
  <si>
    <t>Preço [R$]</t>
  </si>
  <si>
    <t>Depreciação (h)</t>
  </si>
  <si>
    <t>Custo Manut (R$)</t>
  </si>
  <si>
    <t>Cons Máx Energia (kW/h)</t>
  </si>
  <si>
    <t>Depreciação [R$/h]</t>
  </si>
  <si>
    <t>Bambu Lab</t>
  </si>
  <si>
    <t>H2D</t>
  </si>
  <si>
    <t>Expurgo (%)</t>
  </si>
  <si>
    <t>Taxa Marketplace</t>
  </si>
  <si>
    <t>Custo de Energia</t>
  </si>
  <si>
    <t>Shoppe</t>
  </si>
  <si>
    <t>Custo de Trabalho</t>
  </si>
  <si>
    <t>Mercado livre</t>
  </si>
  <si>
    <t>Taxa de falha</t>
  </si>
  <si>
    <t>%</t>
  </si>
  <si>
    <t>Amazon</t>
  </si>
  <si>
    <t>Unidade monetária</t>
  </si>
  <si>
    <t>R$</t>
  </si>
  <si>
    <t>Aliexpress</t>
  </si>
  <si>
    <t>Taxa marketplace</t>
  </si>
  <si>
    <t>Facebook</t>
  </si>
  <si>
    <t>Imposto</t>
  </si>
  <si>
    <t>Instagram</t>
  </si>
  <si>
    <t>Taxa fixa</t>
  </si>
  <si>
    <t>Fabricante Filamento</t>
  </si>
  <si>
    <t>Diâmetro (mm)</t>
  </si>
  <si>
    <t>Preço Carretel (R$)</t>
  </si>
  <si>
    <t>Peso Carretel (g)</t>
  </si>
  <si>
    <t>Densidade (g/cm³)</t>
  </si>
  <si>
    <t>Temp. do bico (°C)</t>
  </si>
  <si>
    <t>Temp. da Mesa (°C)</t>
  </si>
  <si>
    <t>Comprimento p/ rolo (m)</t>
  </si>
  <si>
    <t>Voolt3D PLA</t>
  </si>
  <si>
    <t>DRE - Demonstrativo de Resultados do Exercício</t>
  </si>
  <si>
    <t>Mês / Ano</t>
  </si>
  <si>
    <t>Filamento (kg)</t>
  </si>
  <si>
    <t>Tempo Impressão</t>
  </si>
  <si>
    <t>Tempo Trabalho</t>
  </si>
  <si>
    <t>Insumos</t>
  </si>
  <si>
    <t>Embalagens</t>
  </si>
  <si>
    <t>Custo Total</t>
  </si>
  <si>
    <t>Energia Elétrica</t>
  </si>
  <si>
    <t>Vendas</t>
  </si>
  <si>
    <t>% Lucro ou Prejuízo</t>
  </si>
  <si>
    <t>Horas A1 Combo</t>
  </si>
  <si>
    <t>Horas H2D</t>
  </si>
  <si>
    <t>% Vida Consumida A1</t>
  </si>
  <si>
    <t>% Vida Restante A1</t>
  </si>
  <si>
    <t>% Vida Consumida H2D</t>
  </si>
  <si>
    <t>% Vida Restante H2D</t>
  </si>
  <si>
    <t>SubTotal</t>
  </si>
  <si>
    <t>Colocar um % de reserva ou planejamento de compra ou investimentos em novos equipamentos?</t>
  </si>
  <si>
    <t>Quando uma impressora se pagará?</t>
  </si>
  <si>
    <t>Bambu Lite PLA</t>
  </si>
  <si>
    <t>N3D PLA High Speed</t>
  </si>
  <si>
    <t>BambuPLA SILK</t>
  </si>
  <si>
    <t>A1-01-ECC</t>
  </si>
  <si>
    <t>Miniatura Leonardo</t>
  </si>
  <si>
    <t>Miniatura CAC Fabiano</t>
  </si>
  <si>
    <t>Foguete NASA Educ.</t>
  </si>
  <si>
    <t>Miniatura Tom Formatura</t>
  </si>
  <si>
    <t>Miniatura CAC Soares</t>
  </si>
  <si>
    <t>Soldados Forças Especiais</t>
  </si>
  <si>
    <t>Escultura N. Sra. Div. Prev.</t>
  </si>
  <si>
    <t>Vaso Mindfulness e Porta Vela</t>
  </si>
  <si>
    <t>Chav. Glock 17 5cm</t>
  </si>
  <si>
    <t>Spectreman 20cm</t>
  </si>
  <si>
    <t>Projétil Munição 30x17mm</t>
  </si>
  <si>
    <t>Chav. Casa 01 Cor 3cm</t>
  </si>
  <si>
    <t>Chav. Casa 02 Cores 3cm</t>
  </si>
  <si>
    <t>Lum. Prisma Futurista Moderna</t>
  </si>
  <si>
    <t>Escultura Olguins</t>
  </si>
  <si>
    <t>Lusciano Ascenso</t>
  </si>
  <si>
    <t>Fabiano Dilda</t>
  </si>
  <si>
    <t>Vaso Espiral com Pés Peq.</t>
  </si>
  <si>
    <t>Claro Soares (Alpha)</t>
  </si>
  <si>
    <t>Felipe Pacheco</t>
  </si>
  <si>
    <t>Marcelo Bach (Alpha)</t>
  </si>
  <si>
    <t>Fabio Olgins</t>
  </si>
  <si>
    <t>Daniel Gomes</t>
  </si>
  <si>
    <t>Marcelo Back (Alpha)</t>
  </si>
  <si>
    <t>Porta Caneta Alpha 01 Cor</t>
  </si>
  <si>
    <t>Cauda Moteiro 30x17mm</t>
  </si>
  <si>
    <t>Chav. Raquete 02 Cores</t>
  </si>
  <si>
    <t>Anúncio Internet</t>
  </si>
  <si>
    <t>Case TRT</t>
  </si>
  <si>
    <t>Rogério Maciel</t>
  </si>
  <si>
    <t>Case TRT 6 Frascos</t>
  </si>
  <si>
    <t>Porta Caneta Minecraft Dinamite</t>
  </si>
  <si>
    <t>Porta Caneta Alpha 02 Cores</t>
  </si>
  <si>
    <t>Enfeite Família</t>
  </si>
  <si>
    <t>Andrei Fabrício</t>
  </si>
  <si>
    <t>Caixa Munição 9mm</t>
  </si>
  <si>
    <t>Clodoaldo</t>
  </si>
  <si>
    <t>Estojo de Clipe 223 556 300 10_15rd e Carregador Rápido</t>
  </si>
  <si>
    <t>BTS Prateleira de Exibição Temática</t>
  </si>
  <si>
    <t>Juliana</t>
  </si>
  <si>
    <t>Verinha</t>
  </si>
  <si>
    <t>Vaso Felicia Espiral 12cm</t>
  </si>
  <si>
    <t>Chaveiro Vinil BTS com Nome</t>
  </si>
  <si>
    <t>Chaveiro Vinil BTS com Nome Mesa</t>
  </si>
  <si>
    <t>Estante de Brincadeiras</t>
  </si>
  <si>
    <t>Luminária Bulldog</t>
  </si>
  <si>
    <t>Karina</t>
  </si>
  <si>
    <t>BTS Fliptext Chaveiro - 10 Un</t>
  </si>
  <si>
    <t>15,00 cada</t>
  </si>
  <si>
    <t>BTS ARMY Fliptext - 4 un</t>
  </si>
  <si>
    <t>Ovo Dragrão</t>
  </si>
  <si>
    <t>Karina Castilhos</t>
  </si>
  <si>
    <t>Raquel Conccato</t>
  </si>
  <si>
    <t>80,00 cada</t>
  </si>
  <si>
    <t>Suporte Celular Banco Carro</t>
  </si>
  <si>
    <t>Eder</t>
  </si>
  <si>
    <t>Suporte Celular Banco Carro 6 Un</t>
  </si>
  <si>
    <t>19,00 cada</t>
  </si>
  <si>
    <t>Chaveiro Munição 12 - 10 Un</t>
  </si>
  <si>
    <t>Suporte Aro Headphone + Controle</t>
  </si>
  <si>
    <t>Leonardo Pinto</t>
  </si>
  <si>
    <t>Expositor com Display</t>
  </si>
  <si>
    <t>Chav. Capsula 12 - 5 Un</t>
  </si>
  <si>
    <t>Chav. Granada - 5 Un</t>
  </si>
  <si>
    <t>6,50 cada</t>
  </si>
  <si>
    <t>7,50 cada</t>
  </si>
  <si>
    <t>Suporte AR com Carregador</t>
  </si>
  <si>
    <t>Bloco de Torno 9mm</t>
  </si>
  <si>
    <t>Bloco de Torno Fuzil</t>
  </si>
  <si>
    <t>Bumper G3</t>
  </si>
  <si>
    <t>Bumper GX4</t>
  </si>
  <si>
    <t>Empunhadura AR-15 MLOK</t>
  </si>
  <si>
    <t>Suporte Celular Mesa</t>
  </si>
  <si>
    <t>Amigo Tom</t>
  </si>
  <si>
    <t>Caixa de Jóias Coração</t>
  </si>
  <si>
    <t>Luciano Ascenso</t>
  </si>
  <si>
    <t>Kit Pote Coração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</si>
</sst>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h]:mm:ss;@"/>
    <numFmt numFmtId="165" formatCode="&quot;R$&quot;\ #,##0.00"/>
    <numFmt numFmtId="166" formatCode="#,##0_ ;\-#,##0\ "/>
    <numFmt numFmtId="167" formatCode="mm/yyyy"/>
    <numFmt numFmtId="168" formatCode="0.000"/>
  </numFmts>
  <fonts count="50"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4"/>
      <color theme="4"/>
      <name val="Poppins Bold"/>
    </font>
    <font>
      <b/>
      <sz val="12"/>
      <color theme="0"/>
      <name val="Aptos Narrow"/>
      <scheme val="minor"/>
    </font>
    <font>
      <b/>
      <sz val="12"/>
      <color rgb="FFFF0000"/>
      <name val="Aptos Narrow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color theme="0"/>
      <name val="Aptos Narrow"/>
      <family val="2"/>
      <scheme val="minor"/>
    </font>
    <font>
      <sz val="22"/>
      <color theme="4"/>
      <name val="Poppins Bold"/>
    </font>
    <font>
      <b/>
      <sz val="12"/>
      <color theme="1"/>
      <name val="Aptos Narrow"/>
      <scheme val="minor"/>
    </font>
    <font>
      <sz val="12"/>
      <color theme="5"/>
      <name val="Aptos Narrow"/>
      <family val="2"/>
      <scheme val="minor"/>
    </font>
    <font>
      <sz val="11"/>
      <color theme="1"/>
      <name val="Segoe UI"/>
      <family val="2"/>
    </font>
    <font>
      <sz val="28"/>
      <color theme="4"/>
      <name val="Poppins Bold"/>
    </font>
    <font>
      <sz val="12"/>
      <name val="Aptos Narrow"/>
      <family val="2"/>
      <scheme val="minor"/>
    </font>
    <font>
      <sz val="11"/>
      <name val="Calibri"/>
      <family val="2"/>
    </font>
    <font>
      <b/>
      <sz val="12"/>
      <name val="Aptos Narrow"/>
      <family val="2"/>
      <scheme val="minor"/>
    </font>
    <font>
      <b/>
      <sz val="22"/>
      <color theme="1"/>
      <name val="Segoe UI"/>
      <family val="2"/>
    </font>
    <font>
      <b/>
      <sz val="12"/>
      <color rgb="FFFF0000"/>
      <name val="Aptos Narrow"/>
      <family val="2"/>
      <scheme val="minor"/>
    </font>
    <font>
      <b/>
      <sz val="11"/>
      <color theme="0"/>
      <name val="Segoe UI"/>
      <family val="2"/>
    </font>
    <font>
      <b/>
      <sz val="12"/>
      <color theme="0"/>
      <name val="Segoe UI"/>
      <family val="2"/>
    </font>
    <font>
      <sz val="11"/>
      <color theme="2" tint="-0.89999084444715716"/>
      <name val="Segoe UI"/>
      <family val="2"/>
    </font>
    <font>
      <sz val="24"/>
      <color theme="1"/>
      <name val="Poppins Bold"/>
    </font>
    <font>
      <b/>
      <sz val="22"/>
      <color rgb="FFFF0000"/>
      <name val="Segoe UI"/>
      <family val="2"/>
    </font>
    <font>
      <sz val="11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thin">
        <color theme="0"/>
      </left>
      <right/>
      <top style="medium">
        <color auto="1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indexed="64"/>
      </left>
      <right/>
      <top style="medium">
        <color auto="1"/>
      </top>
      <bottom style="thin">
        <color theme="0"/>
      </bottom>
      <diagonal/>
    </border>
  </borders>
  <cellStyleXfs count="6">
    <xf numFmtId="0" fontId="0" fillId="0" borderId="0"/>
    <xf numFmtId="0" fontId="29" fillId="0" borderId="0"/>
    <xf numFmtId="44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7" fillId="0" borderId="0" applyFont="0" applyFill="0" applyBorder="0" applyAlignment="0" applyProtection="0"/>
    <xf numFmtId="44" fontId="37" fillId="0" borderId="0" applyFont="0" applyFill="0" applyBorder="0" applyAlignment="0" applyProtection="0"/>
  </cellStyleXfs>
  <cellXfs count="284">
    <xf numFmtId="0" fontId="0" fillId="0" borderId="0" xfId="0"/>
    <xf numFmtId="0" fontId="0" fillId="7" borderId="17" xfId="0" applyFill="1" applyBorder="1" applyAlignment="1">
      <alignment horizontal="center" vertical="center"/>
    </xf>
    <xf numFmtId="2" fontId="25" fillId="7" borderId="17" xfId="0" applyNumberFormat="1" applyFont="1" applyFill="1" applyBorder="1" applyAlignment="1">
      <alignment horizontal="center" vertical="center"/>
    </xf>
    <xf numFmtId="8" fontId="25" fillId="7" borderId="17" xfId="0" applyNumberFormat="1" applyFont="1" applyFill="1" applyBorder="1" applyAlignment="1">
      <alignment horizontal="right" vertical="center"/>
    </xf>
    <xf numFmtId="8" fontId="25" fillId="7" borderId="14" xfId="0" applyNumberFormat="1" applyFont="1" applyFill="1" applyBorder="1" applyAlignment="1">
      <alignment horizontal="right" vertical="center"/>
    </xf>
    <xf numFmtId="0" fontId="0" fillId="7" borderId="18" xfId="0" applyFill="1" applyBorder="1" applyAlignment="1">
      <alignment horizontal="center" vertical="center"/>
    </xf>
    <xf numFmtId="2" fontId="25" fillId="7" borderId="18" xfId="0" applyNumberFormat="1" applyFont="1" applyFill="1" applyBorder="1" applyAlignment="1">
      <alignment horizontal="center" vertical="center"/>
    </xf>
    <xf numFmtId="8" fontId="25" fillId="7" borderId="18" xfId="0" applyNumberFormat="1" applyFont="1" applyFill="1" applyBorder="1" applyAlignment="1">
      <alignment horizontal="right" vertical="center"/>
    </xf>
    <xf numFmtId="8" fontId="26" fillId="5" borderId="18" xfId="0" applyNumberFormat="1" applyFont="1" applyFill="1" applyBorder="1" applyAlignment="1">
      <alignment horizontal="center" vertical="center"/>
    </xf>
    <xf numFmtId="0" fontId="30" fillId="9" borderId="0" xfId="1" applyFont="1" applyFill="1" applyAlignment="1">
      <alignment horizontal="center" vertical="center"/>
    </xf>
    <xf numFmtId="0" fontId="29" fillId="0" borderId="0" xfId="1"/>
    <xf numFmtId="0" fontId="25" fillId="0" borderId="0" xfId="1" applyFont="1"/>
    <xf numFmtId="0" fontId="30" fillId="10" borderId="0" xfId="1" applyFont="1" applyFill="1" applyAlignment="1">
      <alignment horizontal="left" vertical="center"/>
    </xf>
    <xf numFmtId="44" fontId="30" fillId="10" borderId="0" xfId="2" applyFont="1" applyFill="1" applyAlignment="1">
      <alignment horizontal="center" vertical="center"/>
    </xf>
    <xf numFmtId="0" fontId="30" fillId="10" borderId="0" xfId="1" applyFont="1" applyFill="1" applyAlignment="1">
      <alignment horizontal="center" vertical="center"/>
    </xf>
    <xf numFmtId="166" fontId="30" fillId="10" borderId="0" xfId="2" applyNumberFormat="1" applyFont="1" applyFill="1" applyAlignment="1">
      <alignment horizontal="center" vertical="center"/>
    </xf>
    <xf numFmtId="0" fontId="30" fillId="10" borderId="0" xfId="1" applyFont="1" applyFill="1"/>
    <xf numFmtId="44" fontId="30" fillId="10" borderId="0" xfId="2" applyFont="1" applyFill="1"/>
    <xf numFmtId="8" fontId="30" fillId="10" borderId="0" xfId="1" applyNumberFormat="1" applyFont="1" applyFill="1"/>
    <xf numFmtId="0" fontId="31" fillId="9" borderId="0" xfId="1" applyFont="1" applyFill="1"/>
    <xf numFmtId="44" fontId="31" fillId="9" borderId="0" xfId="2" applyFont="1" applyFill="1"/>
    <xf numFmtId="8" fontId="31" fillId="9" borderId="0" xfId="1" applyNumberFormat="1" applyFont="1" applyFill="1"/>
    <xf numFmtId="0" fontId="30" fillId="0" borderId="0" xfId="1" applyFont="1"/>
    <xf numFmtId="8" fontId="30" fillId="0" borderId="0" xfId="1" applyNumberFormat="1" applyFont="1"/>
    <xf numFmtId="3" fontId="29" fillId="0" borderId="0" xfId="1" applyNumberFormat="1"/>
    <xf numFmtId="3" fontId="30" fillId="0" borderId="0" xfId="1" applyNumberFormat="1" applyFont="1"/>
    <xf numFmtId="17" fontId="29" fillId="0" borderId="0" xfId="1" applyNumberFormat="1"/>
    <xf numFmtId="0" fontId="31" fillId="0" borderId="0" xfId="1" applyFont="1"/>
    <xf numFmtId="2" fontId="30" fillId="11" borderId="0" xfId="2" applyNumberFormat="1" applyFont="1" applyFill="1" applyAlignment="1">
      <alignment horizontal="right" vertical="center"/>
    </xf>
    <xf numFmtId="0" fontId="30" fillId="0" borderId="0" xfId="1" applyFont="1" applyAlignment="1">
      <alignment horizontal="left" vertical="center"/>
    </xf>
    <xf numFmtId="0" fontId="30" fillId="11" borderId="0" xfId="1" applyFont="1" applyFill="1" applyAlignment="1">
      <alignment horizontal="left" vertical="center"/>
    </xf>
    <xf numFmtId="10" fontId="30" fillId="0" borderId="0" xfId="1" applyNumberFormat="1" applyFont="1" applyAlignment="1">
      <alignment horizontal="right" vertical="center"/>
    </xf>
    <xf numFmtId="8" fontId="30" fillId="0" borderId="0" xfId="1" applyNumberFormat="1" applyFont="1" applyAlignment="1">
      <alignment horizontal="right" vertical="center"/>
    </xf>
    <xf numFmtId="0" fontId="29" fillId="0" borderId="0" xfId="1" applyAlignment="1">
      <alignment horizontal="left" vertical="center"/>
    </xf>
    <xf numFmtId="167" fontId="29" fillId="10" borderId="1" xfId="1" applyNumberFormat="1" applyFill="1" applyBorder="1" applyAlignment="1">
      <alignment horizontal="center" vertical="center"/>
    </xf>
    <xf numFmtId="168" fontId="29" fillId="10" borderId="2" xfId="1" applyNumberFormat="1" applyFill="1" applyBorder="1" applyAlignment="1">
      <alignment horizontal="center" vertical="center"/>
    </xf>
    <xf numFmtId="164" fontId="29" fillId="10" borderId="2" xfId="1" applyNumberFormat="1" applyFill="1" applyBorder="1" applyAlignment="1">
      <alignment horizontal="center" vertical="center"/>
    </xf>
    <xf numFmtId="44" fontId="0" fillId="10" borderId="2" xfId="2" applyFont="1" applyFill="1" applyBorder="1" applyAlignment="1">
      <alignment horizontal="right" vertical="center"/>
    </xf>
    <xf numFmtId="9" fontId="0" fillId="10" borderId="2" xfId="3" applyFont="1" applyFill="1" applyBorder="1" applyAlignment="1">
      <alignment horizontal="center" vertical="center"/>
    </xf>
    <xf numFmtId="4" fontId="0" fillId="10" borderId="2" xfId="2" applyNumberFormat="1" applyFont="1" applyFill="1" applyBorder="1" applyAlignment="1">
      <alignment horizontal="center" vertical="center"/>
    </xf>
    <xf numFmtId="10" fontId="0" fillId="10" borderId="0" xfId="3" applyNumberFormat="1" applyFont="1" applyFill="1" applyBorder="1" applyAlignment="1">
      <alignment horizontal="center" vertical="center"/>
    </xf>
    <xf numFmtId="10" fontId="0" fillId="10" borderId="23" xfId="3" applyNumberFormat="1" applyFont="1" applyFill="1" applyBorder="1" applyAlignment="1">
      <alignment horizontal="center" vertical="center"/>
    </xf>
    <xf numFmtId="167" fontId="29" fillId="12" borderId="4" xfId="1" applyNumberFormat="1" applyFill="1" applyBorder="1" applyAlignment="1">
      <alignment horizontal="center" vertical="center"/>
    </xf>
    <xf numFmtId="168" fontId="29" fillId="12" borderId="0" xfId="1" applyNumberFormat="1" applyFill="1" applyAlignment="1">
      <alignment horizontal="center" vertical="center"/>
    </xf>
    <xf numFmtId="164" fontId="29" fillId="12" borderId="0" xfId="1" applyNumberFormat="1" applyFill="1" applyAlignment="1">
      <alignment horizontal="center" vertical="center"/>
    </xf>
    <xf numFmtId="44" fontId="0" fillId="12" borderId="0" xfId="2" applyFont="1" applyFill="1" applyBorder="1" applyAlignment="1">
      <alignment horizontal="right" vertical="center"/>
    </xf>
    <xf numFmtId="9" fontId="0" fillId="12" borderId="0" xfId="3" applyFont="1" applyFill="1" applyBorder="1" applyAlignment="1">
      <alignment horizontal="center" vertical="center"/>
    </xf>
    <xf numFmtId="4" fontId="0" fillId="12" borderId="0" xfId="2" applyNumberFormat="1" applyFont="1" applyFill="1" applyBorder="1" applyAlignment="1">
      <alignment horizontal="center" vertical="center"/>
    </xf>
    <xf numFmtId="10" fontId="0" fillId="12" borderId="0" xfId="3" applyNumberFormat="1" applyFont="1" applyFill="1" applyBorder="1" applyAlignment="1">
      <alignment horizontal="center" vertical="center"/>
    </xf>
    <xf numFmtId="10" fontId="0" fillId="12" borderId="25" xfId="3" applyNumberFormat="1" applyFont="1" applyFill="1" applyBorder="1" applyAlignment="1">
      <alignment horizontal="center" vertical="center"/>
    </xf>
    <xf numFmtId="167" fontId="29" fillId="7" borderId="4" xfId="1" applyNumberFormat="1" applyFill="1" applyBorder="1" applyAlignment="1">
      <alignment horizontal="center" vertical="center"/>
    </xf>
    <xf numFmtId="168" fontId="29" fillId="7" borderId="0" xfId="1" applyNumberFormat="1" applyFill="1" applyAlignment="1">
      <alignment horizontal="center" vertical="center"/>
    </xf>
    <xf numFmtId="164" fontId="29" fillId="7" borderId="0" xfId="1" applyNumberFormat="1" applyFill="1" applyAlignment="1">
      <alignment horizontal="center" vertical="center"/>
    </xf>
    <xf numFmtId="44" fontId="0" fillId="7" borderId="0" xfId="2" applyFont="1" applyFill="1" applyBorder="1" applyAlignment="1">
      <alignment horizontal="right" vertical="center"/>
    </xf>
    <xf numFmtId="9" fontId="0" fillId="7" borderId="0" xfId="3" applyFont="1" applyFill="1" applyBorder="1" applyAlignment="1">
      <alignment horizontal="center" vertical="center"/>
    </xf>
    <xf numFmtId="4" fontId="0" fillId="7" borderId="0" xfId="2" applyNumberFormat="1" applyFont="1" applyFill="1" applyBorder="1" applyAlignment="1">
      <alignment horizontal="center" vertical="center"/>
    </xf>
    <xf numFmtId="10" fontId="0" fillId="7" borderId="0" xfId="3" applyNumberFormat="1" applyFont="1" applyFill="1" applyBorder="1" applyAlignment="1">
      <alignment horizontal="center" vertical="center"/>
    </xf>
    <xf numFmtId="10" fontId="0" fillId="7" borderId="25" xfId="3" applyNumberFormat="1" applyFont="1" applyFill="1" applyBorder="1" applyAlignment="1">
      <alignment horizontal="center" vertical="center"/>
    </xf>
    <xf numFmtId="167" fontId="29" fillId="10" borderId="19" xfId="1" applyNumberFormat="1" applyFill="1" applyBorder="1" applyAlignment="1">
      <alignment horizontal="center" vertical="center"/>
    </xf>
    <xf numFmtId="168" fontId="29" fillId="10" borderId="0" xfId="1" applyNumberFormat="1" applyFill="1" applyAlignment="1">
      <alignment horizontal="center" vertical="center"/>
    </xf>
    <xf numFmtId="164" fontId="29" fillId="10" borderId="0" xfId="1" applyNumberFormat="1" applyFill="1" applyAlignment="1">
      <alignment horizontal="center" vertical="center"/>
    </xf>
    <xf numFmtId="44" fontId="0" fillId="10" borderId="0" xfId="2" applyFont="1" applyFill="1" applyBorder="1" applyAlignment="1">
      <alignment horizontal="right" vertical="center"/>
    </xf>
    <xf numFmtId="9" fontId="0" fillId="10" borderId="0" xfId="3" applyFont="1" applyFill="1" applyBorder="1" applyAlignment="1">
      <alignment horizontal="center" vertical="center"/>
    </xf>
    <xf numFmtId="4" fontId="0" fillId="10" borderId="0" xfId="2" applyNumberFormat="1" applyFont="1" applyFill="1" applyBorder="1" applyAlignment="1">
      <alignment horizontal="center" vertical="center"/>
    </xf>
    <xf numFmtId="10" fontId="0" fillId="10" borderId="25" xfId="3" applyNumberFormat="1" applyFont="1" applyFill="1" applyBorder="1" applyAlignment="1">
      <alignment horizontal="center" vertical="center"/>
    </xf>
    <xf numFmtId="0" fontId="33" fillId="3" borderId="28" xfId="1" applyFont="1" applyFill="1" applyBorder="1"/>
    <xf numFmtId="168" fontId="33" fillId="3" borderId="29" xfId="1" applyNumberFormat="1" applyFont="1" applyFill="1" applyBorder="1" applyAlignment="1">
      <alignment horizontal="center" vertical="center"/>
    </xf>
    <xf numFmtId="164" fontId="33" fillId="3" borderId="29" xfId="1" applyNumberFormat="1" applyFont="1" applyFill="1" applyBorder="1" applyAlignment="1">
      <alignment horizontal="center" vertical="center"/>
    </xf>
    <xf numFmtId="44" fontId="33" fillId="3" borderId="29" xfId="2" applyFont="1" applyFill="1" applyBorder="1" applyAlignment="1">
      <alignment horizontal="right" vertical="center"/>
    </xf>
    <xf numFmtId="9" fontId="33" fillId="3" borderId="29" xfId="3" applyFont="1" applyFill="1" applyBorder="1" applyAlignment="1">
      <alignment horizontal="center" vertical="center"/>
    </xf>
    <xf numFmtId="4" fontId="33" fillId="3" borderId="29" xfId="2" applyNumberFormat="1" applyFont="1" applyFill="1" applyBorder="1" applyAlignment="1">
      <alignment horizontal="center" vertical="center"/>
    </xf>
    <xf numFmtId="10" fontId="33" fillId="3" borderId="30" xfId="3" applyNumberFormat="1" applyFont="1" applyFill="1" applyBorder="1" applyAlignment="1">
      <alignment horizontal="center" vertical="center"/>
    </xf>
    <xf numFmtId="10" fontId="33" fillId="3" borderId="31" xfId="3" applyNumberFormat="1" applyFont="1" applyFill="1" applyBorder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44" fontId="30" fillId="0" borderId="0" xfId="2" applyFont="1" applyFill="1" applyAlignment="1">
      <alignment horizontal="center" vertical="center"/>
    </xf>
    <xf numFmtId="3" fontId="30" fillId="0" borderId="0" xfId="1" applyNumberFormat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2" borderId="10" xfId="1" applyFont="1" applyFill="1" applyBorder="1" applyAlignment="1">
      <alignment horizontal="center" vertical="center"/>
    </xf>
    <xf numFmtId="14" fontId="29" fillId="7" borderId="18" xfId="1" applyNumberFormat="1" applyFill="1" applyBorder="1" applyAlignment="1">
      <alignment horizontal="center" vertical="center"/>
    </xf>
    <xf numFmtId="8" fontId="29" fillId="0" borderId="0" xfId="1" applyNumberFormat="1"/>
    <xf numFmtId="165" fontId="29" fillId="0" borderId="0" xfId="1" applyNumberFormat="1"/>
    <xf numFmtId="0" fontId="35" fillId="0" borderId="0" xfId="1" applyFont="1"/>
    <xf numFmtId="0" fontId="23" fillId="3" borderId="15" xfId="0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28" fillId="4" borderId="16" xfId="0" applyFont="1" applyFill="1" applyBorder="1" applyAlignment="1">
      <alignment horizontal="center" vertical="center" wrapText="1"/>
    </xf>
    <xf numFmtId="2" fontId="25" fillId="7" borderId="14" xfId="0" applyNumberFormat="1" applyFont="1" applyFill="1" applyBorder="1" applyAlignment="1">
      <alignment horizontal="center" vertical="center"/>
    </xf>
    <xf numFmtId="0" fontId="28" fillId="4" borderId="32" xfId="0" applyFont="1" applyFill="1" applyBorder="1" applyAlignment="1">
      <alignment horizontal="center" vertical="center" wrapText="1"/>
    </xf>
    <xf numFmtId="46" fontId="25" fillId="8" borderId="17" xfId="0" applyNumberFormat="1" applyFont="1" applyFill="1" applyBorder="1" applyAlignment="1">
      <alignment horizontal="center" vertical="center"/>
    </xf>
    <xf numFmtId="2" fontId="30" fillId="11" borderId="0" xfId="4" applyNumberFormat="1" applyFont="1" applyFill="1" applyAlignment="1">
      <alignment horizontal="right" vertical="center"/>
    </xf>
    <xf numFmtId="46" fontId="25" fillId="7" borderId="17" xfId="0" applyNumberFormat="1" applyFont="1" applyFill="1" applyBorder="1" applyAlignment="1">
      <alignment horizontal="center" vertical="center"/>
    </xf>
    <xf numFmtId="46" fontId="25" fillId="7" borderId="18" xfId="0" applyNumberFormat="1" applyFont="1" applyFill="1" applyBorder="1" applyAlignment="1">
      <alignment horizontal="center" vertical="center"/>
    </xf>
    <xf numFmtId="46" fontId="25" fillId="8" borderId="18" xfId="0" applyNumberFormat="1" applyFont="1" applyFill="1" applyBorder="1" applyAlignment="1">
      <alignment horizontal="center" vertical="center"/>
    </xf>
    <xf numFmtId="0" fontId="23" fillId="5" borderId="11" xfId="1" applyFont="1" applyFill="1" applyBorder="1" applyAlignment="1">
      <alignment horizontal="center" vertical="center" wrapText="1"/>
    </xf>
    <xf numFmtId="0" fontId="23" fillId="3" borderId="28" xfId="1" applyFont="1" applyFill="1" applyBorder="1" applyAlignment="1">
      <alignment horizontal="centerContinuous" vertical="center" wrapText="1"/>
    </xf>
    <xf numFmtId="0" fontId="23" fillId="3" borderId="29" xfId="1" applyFont="1" applyFill="1" applyBorder="1" applyAlignment="1">
      <alignment horizontal="centerContinuous" vertical="center" wrapText="1"/>
    </xf>
    <xf numFmtId="0" fontId="23" fillId="3" borderId="20" xfId="1" applyFont="1" applyFill="1" applyBorder="1" applyAlignment="1">
      <alignment horizontal="centerContinuous" vertical="center" wrapText="1"/>
    </xf>
    <xf numFmtId="0" fontId="28" fillId="3" borderId="20" xfId="1" applyFont="1" applyFill="1" applyBorder="1" applyAlignment="1">
      <alignment horizontal="centerContinuous" vertical="center" wrapText="1"/>
    </xf>
    <xf numFmtId="0" fontId="23" fillId="3" borderId="30" xfId="1" applyFont="1" applyFill="1" applyBorder="1" applyAlignment="1">
      <alignment horizontal="centerContinuous" vertical="center" wrapText="1"/>
    </xf>
    <xf numFmtId="0" fontId="23" fillId="3" borderId="6" xfId="1" applyFont="1" applyFill="1" applyBorder="1" applyAlignment="1">
      <alignment horizontal="centerContinuous" vertical="center" wrapText="1"/>
    </xf>
    <xf numFmtId="0" fontId="23" fillId="3" borderId="27" xfId="1" applyFont="1" applyFill="1" applyBorder="1" applyAlignment="1">
      <alignment horizontal="centerContinuous" vertical="center" wrapText="1"/>
    </xf>
    <xf numFmtId="0" fontId="29" fillId="0" borderId="0" xfId="1" applyAlignment="1">
      <alignment horizontal="centerContinuous" wrapText="1"/>
    </xf>
    <xf numFmtId="0" fontId="23" fillId="3" borderId="15" xfId="1" applyFont="1" applyFill="1" applyBorder="1" applyAlignment="1">
      <alignment horizontal="center" vertical="center" wrapText="1"/>
    </xf>
    <xf numFmtId="0" fontId="23" fillId="6" borderId="16" xfId="1" applyFont="1" applyFill="1" applyBorder="1" applyAlignment="1">
      <alignment horizontal="center" vertical="center" wrapText="1"/>
    </xf>
    <xf numFmtId="8" fontId="29" fillId="0" borderId="0" xfId="1" applyNumberFormat="1" applyAlignment="1">
      <alignment horizontal="center" wrapText="1"/>
    </xf>
    <xf numFmtId="0" fontId="29" fillId="0" borderId="0" xfId="1" applyAlignment="1">
      <alignment horizont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3" borderId="15" xfId="1" applyFont="1" applyFill="1" applyBorder="1" applyAlignment="1">
      <alignment horizontal="center" vertical="center" wrapText="1"/>
    </xf>
    <xf numFmtId="8" fontId="26" fillId="4" borderId="14" xfId="1" applyNumberFormat="1" applyFont="1" applyFill="1" applyBorder="1" applyAlignment="1">
      <alignment horizontal="center" vertical="center"/>
    </xf>
    <xf numFmtId="0" fontId="23" fillId="13" borderId="22" xfId="1" applyFont="1" applyFill="1" applyBorder="1" applyAlignment="1">
      <alignment horizontal="center" vertical="center"/>
    </xf>
    <xf numFmtId="0" fontId="23" fillId="13" borderId="10" xfId="1" applyFont="1" applyFill="1" applyBorder="1" applyAlignment="1">
      <alignment horizontal="center" vertical="center"/>
    </xf>
    <xf numFmtId="4" fontId="24" fillId="13" borderId="9" xfId="1" applyNumberFormat="1" applyFont="1" applyFill="1" applyBorder="1" applyAlignment="1">
      <alignment horizontal="center" vertical="center"/>
    </xf>
    <xf numFmtId="0" fontId="28" fillId="13" borderId="9" xfId="1" applyFont="1" applyFill="1" applyBorder="1" applyAlignment="1">
      <alignment horizontal="center" vertical="center"/>
    </xf>
    <xf numFmtId="0" fontId="39" fillId="0" borderId="17" xfId="1" applyFont="1" applyBorder="1" applyAlignment="1">
      <alignment horizontal="center" vertical="center"/>
    </xf>
    <xf numFmtId="0" fontId="39" fillId="0" borderId="18" xfId="1" applyFont="1" applyBorder="1" applyAlignment="1">
      <alignment horizontal="center" vertical="center"/>
    </xf>
    <xf numFmtId="0" fontId="39" fillId="7" borderId="17" xfId="1" applyFont="1" applyFill="1" applyBorder="1" applyAlignment="1">
      <alignment horizontal="center" vertical="center"/>
    </xf>
    <xf numFmtId="0" fontId="39" fillId="7" borderId="18" xfId="1" applyFont="1" applyFill="1" applyBorder="1" applyAlignment="1">
      <alignment horizontal="center" vertical="center"/>
    </xf>
    <xf numFmtId="4" fontId="26" fillId="0" borderId="14" xfId="1" applyNumberFormat="1" applyFont="1" applyBorder="1" applyAlignment="1">
      <alignment horizontal="center" vertical="center"/>
    </xf>
    <xf numFmtId="4" fontId="26" fillId="0" borderId="18" xfId="1" applyNumberFormat="1" applyFont="1" applyBorder="1" applyAlignment="1">
      <alignment horizontal="center" vertical="center"/>
    </xf>
    <xf numFmtId="4" fontId="27" fillId="0" borderId="18" xfId="1" applyNumberFormat="1" applyFont="1" applyBorder="1" applyAlignment="1">
      <alignment horizontal="center" vertical="center"/>
    </xf>
    <xf numFmtId="0" fontId="39" fillId="7" borderId="18" xfId="0" applyFont="1" applyFill="1" applyBorder="1" applyAlignment="1">
      <alignment horizontal="center" vertical="center"/>
    </xf>
    <xf numFmtId="2" fontId="40" fillId="7" borderId="18" xfId="0" applyNumberFormat="1" applyFont="1" applyFill="1" applyBorder="1" applyAlignment="1">
      <alignment horizontal="center" vertical="center"/>
    </xf>
    <xf numFmtId="46" fontId="40" fillId="8" borderId="18" xfId="0" applyNumberFormat="1" applyFont="1" applyFill="1" applyBorder="1" applyAlignment="1">
      <alignment horizontal="center" vertical="center"/>
    </xf>
    <xf numFmtId="46" fontId="40" fillId="7" borderId="18" xfId="0" applyNumberFormat="1" applyFont="1" applyFill="1" applyBorder="1" applyAlignment="1">
      <alignment horizontal="center" vertical="center"/>
    </xf>
    <xf numFmtId="8" fontId="40" fillId="7" borderId="18" xfId="0" applyNumberFormat="1" applyFont="1" applyFill="1" applyBorder="1" applyAlignment="1">
      <alignment horizontal="right" vertical="center"/>
    </xf>
    <xf numFmtId="0" fontId="41" fillId="5" borderId="16" xfId="0" applyFont="1" applyFill="1" applyBorder="1" applyAlignment="1">
      <alignment horizontal="center" vertical="center" wrapText="1"/>
    </xf>
    <xf numFmtId="2" fontId="29" fillId="0" borderId="0" xfId="1" applyNumberFormat="1"/>
    <xf numFmtId="0" fontId="28" fillId="6" borderId="16" xfId="1" applyFont="1" applyFill="1" applyBorder="1" applyAlignment="1">
      <alignment horizontal="center" vertical="center" wrapText="1"/>
    </xf>
    <xf numFmtId="0" fontId="28" fillId="4" borderId="16" xfId="1" applyFont="1" applyFill="1" applyBorder="1" applyAlignment="1">
      <alignment horizontal="center" vertical="center" wrapText="1"/>
    </xf>
    <xf numFmtId="3" fontId="39" fillId="7" borderId="17" xfId="1" applyNumberFormat="1" applyFont="1" applyFill="1" applyBorder="1" applyAlignment="1">
      <alignment horizontal="center" vertical="center"/>
    </xf>
    <xf numFmtId="3" fontId="39" fillId="7" borderId="18" xfId="1" applyNumberFormat="1" applyFont="1" applyFill="1" applyBorder="1" applyAlignment="1">
      <alignment horizontal="center" vertical="center"/>
    </xf>
    <xf numFmtId="0" fontId="28" fillId="14" borderId="35" xfId="0" applyFont="1" applyFill="1" applyBorder="1" applyAlignment="1">
      <alignment horizontal="center" vertical="center" wrapText="1"/>
    </xf>
    <xf numFmtId="0" fontId="36" fillId="0" borderId="0" xfId="1" applyFont="1" applyAlignment="1">
      <alignment wrapText="1"/>
    </xf>
    <xf numFmtId="0" fontId="28" fillId="2" borderId="10" xfId="1" applyFont="1" applyFill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2" borderId="8" xfId="1" applyFont="1" applyFill="1" applyBorder="1" applyAlignment="1">
      <alignment horizontal="center" vertical="center"/>
    </xf>
    <xf numFmtId="14" fontId="39" fillId="7" borderId="17" xfId="1" applyNumberFormat="1" applyFont="1" applyFill="1" applyBorder="1" applyAlignment="1">
      <alignment horizontal="center" vertical="center"/>
    </xf>
    <xf numFmtId="14" fontId="39" fillId="7" borderId="18" xfId="1" applyNumberFormat="1" applyFont="1" applyFill="1" applyBorder="1" applyAlignment="1">
      <alignment horizontal="center" vertical="center"/>
    </xf>
    <xf numFmtId="0" fontId="28" fillId="5" borderId="11" xfId="1" applyFont="1" applyFill="1" applyBorder="1" applyAlignment="1">
      <alignment horizontal="center" vertical="center" wrapText="1"/>
    </xf>
    <xf numFmtId="10" fontId="29" fillId="7" borderId="18" xfId="1" applyNumberFormat="1" applyFill="1" applyBorder="1"/>
    <xf numFmtId="14" fontId="39" fillId="7" borderId="34" xfId="1" applyNumberFormat="1" applyFont="1" applyFill="1" applyBorder="1" applyAlignment="1">
      <alignment horizontal="center" vertical="center"/>
    </xf>
    <xf numFmtId="14" fontId="29" fillId="7" borderId="34" xfId="1" applyNumberFormat="1" applyFill="1" applyBorder="1" applyAlignment="1">
      <alignment horizontal="center" vertical="center"/>
    </xf>
    <xf numFmtId="0" fontId="39" fillId="7" borderId="34" xfId="1" applyFont="1" applyFill="1" applyBorder="1" applyAlignment="1">
      <alignment horizontal="center" vertical="center"/>
    </xf>
    <xf numFmtId="0" fontId="39" fillId="0" borderId="34" xfId="1" applyFont="1" applyBorder="1" applyAlignment="1">
      <alignment horizontal="center" vertical="center"/>
    </xf>
    <xf numFmtId="4" fontId="26" fillId="0" borderId="34" xfId="1" applyNumberFormat="1" applyFont="1" applyBorder="1" applyAlignment="1">
      <alignment horizontal="center" vertical="center"/>
    </xf>
    <xf numFmtId="10" fontId="29" fillId="7" borderId="34" xfId="1" applyNumberFormat="1" applyFill="1" applyBorder="1"/>
    <xf numFmtId="8" fontId="25" fillId="7" borderId="14" xfId="1" applyNumberFormat="1" applyFont="1" applyFill="1" applyBorder="1" applyAlignment="1">
      <alignment horizontal="center" vertical="center"/>
    </xf>
    <xf numFmtId="8" fontId="25" fillId="7" borderId="0" xfId="1" applyNumberFormat="1" applyFont="1" applyFill="1" applyAlignment="1">
      <alignment horizontal="center" vertical="center"/>
    </xf>
    <xf numFmtId="165" fontId="29" fillId="7" borderId="2" xfId="1" applyNumberFormat="1" applyFill="1" applyBorder="1" applyAlignment="1">
      <alignment horizontal="center" vertical="center"/>
    </xf>
    <xf numFmtId="165" fontId="29" fillId="7" borderId="37" xfId="1" applyNumberFormat="1" applyFill="1" applyBorder="1" applyAlignment="1">
      <alignment horizontal="center" vertical="center"/>
    </xf>
    <xf numFmtId="165" fontId="29" fillId="7" borderId="38" xfId="1" applyNumberFormat="1" applyFill="1" applyBorder="1" applyAlignment="1">
      <alignment horizontal="center" vertical="center"/>
    </xf>
    <xf numFmtId="165" fontId="29" fillId="7" borderId="39" xfId="1" applyNumberFormat="1" applyFill="1" applyBorder="1" applyAlignment="1">
      <alignment horizontal="center" vertical="center"/>
    </xf>
    <xf numFmtId="0" fontId="0" fillId="3" borderId="0" xfId="0" applyFill="1" applyAlignment="1">
      <alignment horizontal="centerContinuous"/>
    </xf>
    <xf numFmtId="0" fontId="45" fillId="3" borderId="41" xfId="0" applyFont="1" applyFill="1" applyBorder="1" applyAlignment="1">
      <alignment horizontal="centerContinuous"/>
    </xf>
    <xf numFmtId="0" fontId="44" fillId="4" borderId="0" xfId="0" applyFont="1" applyFill="1" applyAlignment="1">
      <alignment horizontal="centerContinuous"/>
    </xf>
    <xf numFmtId="0" fontId="44" fillId="4" borderId="40" xfId="0" applyFont="1" applyFill="1" applyBorder="1" applyAlignment="1">
      <alignment horizontal="centerContinuous"/>
    </xf>
    <xf numFmtId="9" fontId="43" fillId="8" borderId="13" xfId="1" applyNumberFormat="1" applyFont="1" applyFill="1" applyBorder="1" applyAlignment="1">
      <alignment horizontal="center" vertical="center"/>
    </xf>
    <xf numFmtId="0" fontId="43" fillId="8" borderId="12" xfId="1" applyFont="1" applyFill="1" applyBorder="1" applyAlignment="1">
      <alignment horizontal="center" vertical="center"/>
    </xf>
    <xf numFmtId="0" fontId="29" fillId="9" borderId="1" xfId="1" applyFill="1" applyBorder="1" applyAlignment="1">
      <alignment vertical="center"/>
    </xf>
    <xf numFmtId="0" fontId="29" fillId="9" borderId="2" xfId="1" applyFill="1" applyBorder="1" applyAlignment="1">
      <alignment vertical="center"/>
    </xf>
    <xf numFmtId="0" fontId="29" fillId="9" borderId="2" xfId="1" applyFill="1" applyBorder="1" applyAlignment="1">
      <alignment horizontal="center" vertical="center"/>
    </xf>
    <xf numFmtId="0" fontId="29" fillId="9" borderId="0" xfId="1" applyFill="1"/>
    <xf numFmtId="0" fontId="38" fillId="9" borderId="2" xfId="1" applyFont="1" applyFill="1" applyBorder="1" applyAlignment="1">
      <alignment vertical="center"/>
    </xf>
    <xf numFmtId="0" fontId="38" fillId="9" borderId="3" xfId="1" applyFont="1" applyFill="1" applyBorder="1" applyAlignment="1">
      <alignment vertical="center"/>
    </xf>
    <xf numFmtId="0" fontId="29" fillId="9" borderId="4" xfId="1" applyFill="1" applyBorder="1" applyAlignment="1">
      <alignment vertical="center"/>
    </xf>
    <xf numFmtId="0" fontId="29" fillId="9" borderId="0" xfId="1" applyFill="1" applyAlignment="1">
      <alignment vertical="center"/>
    </xf>
    <xf numFmtId="0" fontId="42" fillId="9" borderId="0" xfId="0" applyFont="1" applyFill="1" applyAlignment="1">
      <alignment horizontal="centerContinuous" vertical="center"/>
    </xf>
    <xf numFmtId="0" fontId="0" fillId="9" borderId="0" xfId="0" applyFill="1" applyAlignment="1">
      <alignment horizontal="centerContinuous" vertical="center"/>
    </xf>
    <xf numFmtId="0" fontId="0" fillId="9" borderId="0" xfId="0" applyFill="1"/>
    <xf numFmtId="0" fontId="38" fillId="9" borderId="0" xfId="1" applyFont="1" applyFill="1" applyAlignment="1">
      <alignment vertical="center"/>
    </xf>
    <xf numFmtId="0" fontId="38" fillId="9" borderId="5" xfId="1" applyFont="1" applyFill="1" applyBorder="1" applyAlignment="1">
      <alignment vertical="center"/>
    </xf>
    <xf numFmtId="0" fontId="29" fillId="9" borderId="0" xfId="1" applyFill="1" applyAlignment="1">
      <alignment horizontal="center" vertical="center"/>
    </xf>
    <xf numFmtId="0" fontId="29" fillId="9" borderId="33" xfId="1" applyFill="1" applyBorder="1" applyAlignment="1">
      <alignment vertical="center"/>
    </xf>
    <xf numFmtId="0" fontId="29" fillId="9" borderId="6" xfId="1" applyFill="1" applyBorder="1" applyAlignment="1">
      <alignment vertical="center"/>
    </xf>
    <xf numFmtId="0" fontId="29" fillId="9" borderId="6" xfId="1" applyFill="1" applyBorder="1" applyAlignment="1">
      <alignment horizontal="center" vertical="center"/>
    </xf>
    <xf numFmtId="0" fontId="38" fillId="9" borderId="6" xfId="1" applyFont="1" applyFill="1" applyBorder="1" applyAlignment="1">
      <alignment vertical="center"/>
    </xf>
    <xf numFmtId="0" fontId="38" fillId="9" borderId="7" xfId="1" applyFont="1" applyFill="1" applyBorder="1" applyAlignment="1">
      <alignment vertical="center"/>
    </xf>
    <xf numFmtId="8" fontId="26" fillId="15" borderId="14" xfId="1" applyNumberFormat="1" applyFont="1" applyFill="1" applyBorder="1" applyAlignment="1">
      <alignment horizontal="center" vertical="center"/>
    </xf>
    <xf numFmtId="8" fontId="26" fillId="15" borderId="0" xfId="1" applyNumberFormat="1" applyFont="1" applyFill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6" borderId="0" xfId="0" applyFill="1"/>
    <xf numFmtId="0" fontId="22" fillId="16" borderId="0" xfId="0" applyFont="1" applyFill="1" applyAlignment="1">
      <alignment horizontal="centerContinuous" vertical="center"/>
    </xf>
    <xf numFmtId="0" fontId="22" fillId="16" borderId="0" xfId="0" applyFont="1" applyFill="1" applyAlignment="1">
      <alignment vertical="center"/>
    </xf>
    <xf numFmtId="0" fontId="23" fillId="16" borderId="11" xfId="0" applyFont="1" applyFill="1" applyBorder="1" applyAlignment="1">
      <alignment horizontal="centerContinuous" vertical="center"/>
    </xf>
    <xf numFmtId="0" fontId="23" fillId="16" borderId="0" xfId="0" applyFont="1" applyFill="1" applyAlignment="1">
      <alignment horizontal="centerContinuous" vertical="center"/>
    </xf>
    <xf numFmtId="0" fontId="22" fillId="16" borderId="2" xfId="0" applyFont="1" applyFill="1" applyBorder="1" applyAlignment="1">
      <alignment vertical="center"/>
    </xf>
    <xf numFmtId="0" fontId="34" fillId="16" borderId="0" xfId="0" applyFont="1" applyFill="1" applyAlignment="1">
      <alignment horizontal="centerContinuous" vertical="center"/>
    </xf>
    <xf numFmtId="0" fontId="22" fillId="16" borderId="6" xfId="0" applyFont="1" applyFill="1" applyBorder="1" applyAlignment="1">
      <alignment vertical="center"/>
    </xf>
    <xf numFmtId="0" fontId="0" fillId="16" borderId="36" xfId="0" applyFill="1" applyBorder="1"/>
    <xf numFmtId="0" fontId="45" fillId="4" borderId="41" xfId="0" applyFont="1" applyFill="1" applyBorder="1" applyAlignment="1">
      <alignment horizontal="centerContinuous"/>
    </xf>
    <xf numFmtId="1" fontId="30" fillId="0" borderId="0" xfId="1" applyNumberFormat="1" applyFont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29" fillId="0" borderId="0" xfId="1" applyAlignment="1">
      <alignment wrapText="1"/>
    </xf>
    <xf numFmtId="0" fontId="46" fillId="0" borderId="0" xfId="1" applyFont="1"/>
    <xf numFmtId="0" fontId="46" fillId="0" borderId="0" xfId="1" applyFont="1" applyAlignment="1">
      <alignment horizontal="center" vertical="center"/>
    </xf>
    <xf numFmtId="8" fontId="46" fillId="0" borderId="0" xfId="1" applyNumberFormat="1" applyFont="1" applyAlignment="1">
      <alignment horizontal="right" vertical="center"/>
    </xf>
    <xf numFmtId="1" fontId="46" fillId="0" borderId="0" xfId="1" applyNumberFormat="1" applyFont="1" applyAlignment="1">
      <alignment horizontal="center" vertical="center"/>
    </xf>
    <xf numFmtId="0" fontId="47" fillId="16" borderId="0" xfId="0" applyFont="1" applyFill="1" applyAlignment="1">
      <alignment horizontal="centerContinuous" vertical="center"/>
    </xf>
    <xf numFmtId="0" fontId="29" fillId="17" borderId="1" xfId="1" applyFill="1" applyBorder="1" applyAlignment="1">
      <alignment vertical="center"/>
    </xf>
    <xf numFmtId="0" fontId="29" fillId="17" borderId="2" xfId="1" applyFill="1" applyBorder="1" applyAlignment="1">
      <alignment vertical="center"/>
    </xf>
    <xf numFmtId="0" fontId="29" fillId="17" borderId="2" xfId="1" applyFill="1" applyBorder="1" applyAlignment="1">
      <alignment horizontal="center" vertical="center"/>
    </xf>
    <xf numFmtId="0" fontId="29" fillId="17" borderId="0" xfId="1" applyFill="1"/>
    <xf numFmtId="0" fontId="38" fillId="17" borderId="2" xfId="1" applyFont="1" applyFill="1" applyBorder="1" applyAlignment="1">
      <alignment vertical="center"/>
    </xf>
    <xf numFmtId="0" fontId="29" fillId="17" borderId="4" xfId="1" applyFill="1" applyBorder="1" applyAlignment="1">
      <alignment vertical="center"/>
    </xf>
    <xf numFmtId="0" fontId="29" fillId="17" borderId="0" xfId="1" applyFill="1" applyAlignment="1">
      <alignment vertical="center"/>
    </xf>
    <xf numFmtId="0" fontId="48" fillId="17" borderId="0" xfId="0" applyFont="1" applyFill="1" applyAlignment="1">
      <alignment horizontal="centerContinuous" vertical="center"/>
    </xf>
    <xf numFmtId="0" fontId="0" fillId="17" borderId="0" xfId="0" applyFill="1" applyAlignment="1">
      <alignment horizontal="centerContinuous" vertical="center"/>
    </xf>
    <xf numFmtId="0" fontId="0" fillId="17" borderId="0" xfId="0" applyFill="1"/>
    <xf numFmtId="0" fontId="38" fillId="17" borderId="0" xfId="1" applyFont="1" applyFill="1" applyAlignment="1">
      <alignment vertical="center"/>
    </xf>
    <xf numFmtId="0" fontId="29" fillId="17" borderId="0" xfId="1" applyFill="1" applyAlignment="1">
      <alignment horizontal="center" vertical="center"/>
    </xf>
    <xf numFmtId="0" fontId="29" fillId="17" borderId="33" xfId="1" applyFill="1" applyBorder="1" applyAlignment="1">
      <alignment vertical="center"/>
    </xf>
    <xf numFmtId="0" fontId="29" fillId="17" borderId="6" xfId="1" applyFill="1" applyBorder="1" applyAlignment="1">
      <alignment vertical="center"/>
    </xf>
    <xf numFmtId="0" fontId="29" fillId="17" borderId="6" xfId="1" applyFill="1" applyBorder="1" applyAlignment="1">
      <alignment horizontal="center" vertical="center"/>
    </xf>
    <xf numFmtId="0" fontId="38" fillId="17" borderId="6" xfId="1" applyFont="1" applyFill="1" applyBorder="1" applyAlignment="1">
      <alignment vertical="center"/>
    </xf>
    <xf numFmtId="0" fontId="31" fillId="9" borderId="0" xfId="1" applyFont="1" applyFill="1" applyAlignment="1">
      <alignment horizontal="center" vertical="center"/>
    </xf>
    <xf numFmtId="165" fontId="29" fillId="7" borderId="18" xfId="1" applyNumberFormat="1" applyFill="1" applyBorder="1" applyAlignment="1">
      <alignment horizontal="center" vertical="center"/>
    </xf>
    <xf numFmtId="14" fontId="49" fillId="12" borderId="14" xfId="0" applyNumberFormat="1" applyFont="1" applyFill="1" applyBorder="1" applyAlignment="1">
      <alignment horizontal="center" vertical="center"/>
    </xf>
    <xf numFmtId="17" fontId="49" fillId="12" borderId="14" xfId="0" applyNumberFormat="1" applyFont="1" applyFill="1" applyBorder="1" applyAlignment="1">
      <alignment horizontal="center" vertical="center"/>
    </xf>
    <xf numFmtId="14" fontId="21" fillId="7" borderId="18" xfId="1" applyNumberFormat="1" applyFont="1" applyFill="1" applyBorder="1" applyAlignment="1">
      <alignment horizontal="center" vertical="center"/>
    </xf>
    <xf numFmtId="44" fontId="29" fillId="0" borderId="0" xfId="5" applyFont="1"/>
    <xf numFmtId="14" fontId="21" fillId="7" borderId="17" xfId="1" applyNumberFormat="1" applyFont="1" applyFill="1" applyBorder="1" applyAlignment="1">
      <alignment horizontal="center" vertical="center"/>
    </xf>
    <xf numFmtId="0" fontId="21" fillId="0" borderId="0" xfId="1" applyFont="1"/>
    <xf numFmtId="14" fontId="20" fillId="7" borderId="18" xfId="1" applyNumberFormat="1" applyFont="1" applyFill="1" applyBorder="1" applyAlignment="1">
      <alignment horizontal="center" vertical="center"/>
    </xf>
    <xf numFmtId="14" fontId="19" fillId="7" borderId="18" xfId="1" applyNumberFormat="1" applyFont="1" applyFill="1" applyBorder="1" applyAlignment="1">
      <alignment horizontal="center" vertical="center"/>
    </xf>
    <xf numFmtId="14" fontId="49" fillId="12" borderId="18" xfId="0" applyNumberFormat="1" applyFont="1" applyFill="1" applyBorder="1" applyAlignment="1">
      <alignment horizontal="center" vertical="center"/>
    </xf>
    <xf numFmtId="17" fontId="49" fillId="12" borderId="18" xfId="0" applyNumberFormat="1" applyFont="1" applyFill="1" applyBorder="1" applyAlignment="1">
      <alignment horizontal="center" vertical="center"/>
    </xf>
    <xf numFmtId="14" fontId="18" fillId="7" borderId="18" xfId="1" applyNumberFormat="1" applyFont="1" applyFill="1" applyBorder="1" applyAlignment="1">
      <alignment horizontal="center" vertical="center"/>
    </xf>
    <xf numFmtId="14" fontId="49" fillId="12" borderId="34" xfId="0" applyNumberFormat="1" applyFont="1" applyFill="1" applyBorder="1" applyAlignment="1">
      <alignment horizontal="center" vertical="center"/>
    </xf>
    <xf numFmtId="17" fontId="49" fillId="12" borderId="34" xfId="0" applyNumberFormat="1" applyFont="1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2" fontId="25" fillId="7" borderId="34" xfId="0" applyNumberFormat="1" applyFont="1" applyFill="1" applyBorder="1" applyAlignment="1">
      <alignment horizontal="center" vertical="center"/>
    </xf>
    <xf numFmtId="46" fontId="25" fillId="8" borderId="34" xfId="0" applyNumberFormat="1" applyFont="1" applyFill="1" applyBorder="1" applyAlignment="1">
      <alignment horizontal="center" vertical="center"/>
    </xf>
    <xf numFmtId="46" fontId="25" fillId="7" borderId="34" xfId="0" applyNumberFormat="1" applyFont="1" applyFill="1" applyBorder="1" applyAlignment="1">
      <alignment horizontal="center" vertical="center"/>
    </xf>
    <xf numFmtId="8" fontId="25" fillId="7" borderId="34" xfId="0" applyNumberFormat="1" applyFont="1" applyFill="1" applyBorder="1" applyAlignment="1">
      <alignment horizontal="right" vertical="center"/>
    </xf>
    <xf numFmtId="8" fontId="26" fillId="5" borderId="34" xfId="0" applyNumberFormat="1" applyFont="1" applyFill="1" applyBorder="1" applyAlignment="1">
      <alignment horizontal="center" vertical="center"/>
    </xf>
    <xf numFmtId="14" fontId="17" fillId="7" borderId="18" xfId="1" applyNumberFormat="1" applyFont="1" applyFill="1" applyBorder="1" applyAlignment="1">
      <alignment horizontal="center" vertical="center"/>
    </xf>
    <xf numFmtId="21" fontId="25" fillId="8" borderId="34" xfId="0" applyNumberFormat="1" applyFont="1" applyFill="1" applyBorder="1" applyAlignment="1">
      <alignment horizontal="center" vertical="center"/>
    </xf>
    <xf numFmtId="14" fontId="16" fillId="7" borderId="18" xfId="1" applyNumberFormat="1" applyFont="1" applyFill="1" applyBorder="1" applyAlignment="1">
      <alignment horizontal="center" vertical="center"/>
    </xf>
    <xf numFmtId="14" fontId="15" fillId="7" borderId="18" xfId="1" applyNumberFormat="1" applyFont="1" applyFill="1" applyBorder="1" applyAlignment="1">
      <alignment horizontal="center" vertical="center"/>
    </xf>
    <xf numFmtId="14" fontId="14" fillId="7" borderId="18" xfId="1" applyNumberFormat="1" applyFont="1" applyFill="1" applyBorder="1" applyAlignment="1">
      <alignment horizontal="center" vertical="center"/>
    </xf>
    <xf numFmtId="14" fontId="13" fillId="7" borderId="18" xfId="1" applyNumberFormat="1" applyFont="1" applyFill="1" applyBorder="1" applyAlignment="1">
      <alignment horizontal="center" vertical="center"/>
    </xf>
    <xf numFmtId="8" fontId="25" fillId="7" borderId="34" xfId="0" applyNumberFormat="1" applyFont="1" applyFill="1" applyBorder="1" applyAlignment="1">
      <alignment horizontal="center" vertical="center"/>
    </xf>
    <xf numFmtId="2" fontId="25" fillId="7" borderId="0" xfId="0" applyNumberFormat="1" applyFont="1" applyFill="1" applyAlignment="1">
      <alignment horizontal="center" vertical="center"/>
    </xf>
    <xf numFmtId="0" fontId="12" fillId="7" borderId="34" xfId="1" applyFont="1" applyFill="1" applyBorder="1" applyAlignment="1">
      <alignment horizontal="center" vertical="center"/>
    </xf>
    <xf numFmtId="14" fontId="12" fillId="7" borderId="18" xfId="1" applyNumberFormat="1" applyFont="1" applyFill="1" applyBorder="1" applyAlignment="1">
      <alignment horizontal="center" vertical="center"/>
    </xf>
    <xf numFmtId="14" fontId="11" fillId="7" borderId="18" xfId="1" applyNumberFormat="1" applyFont="1" applyFill="1" applyBorder="1" applyAlignment="1">
      <alignment horizontal="center" vertical="center"/>
    </xf>
    <xf numFmtId="14" fontId="10" fillId="7" borderId="18" xfId="1" applyNumberFormat="1" applyFont="1" applyFill="1" applyBorder="1" applyAlignment="1">
      <alignment horizontal="center" vertical="center"/>
    </xf>
    <xf numFmtId="14" fontId="9" fillId="7" borderId="34" xfId="1" applyNumberFormat="1" applyFont="1" applyFill="1" applyBorder="1" applyAlignment="1">
      <alignment horizontal="center" vertical="center"/>
    </xf>
    <xf numFmtId="4" fontId="27" fillId="0" borderId="34" xfId="1" applyNumberFormat="1" applyFont="1" applyBorder="1" applyAlignment="1">
      <alignment horizontal="center" vertical="center"/>
    </xf>
    <xf numFmtId="0" fontId="9" fillId="0" borderId="0" xfId="1" applyFont="1"/>
    <xf numFmtId="3" fontId="39" fillId="7" borderId="34" xfId="1" applyNumberFormat="1" applyFont="1" applyFill="1" applyBorder="1" applyAlignment="1">
      <alignment horizontal="center" vertical="center"/>
    </xf>
    <xf numFmtId="8" fontId="26" fillId="4" borderId="0" xfId="1" applyNumberFormat="1" applyFont="1" applyFill="1" applyAlignment="1">
      <alignment horizontal="center" vertical="center"/>
    </xf>
    <xf numFmtId="165" fontId="29" fillId="7" borderId="34" xfId="1" applyNumberFormat="1" applyFill="1" applyBorder="1" applyAlignment="1">
      <alignment horizontal="center" vertical="center"/>
    </xf>
    <xf numFmtId="14" fontId="8" fillId="7" borderId="34" xfId="1" applyNumberFormat="1" applyFont="1" applyFill="1" applyBorder="1" applyAlignment="1">
      <alignment horizontal="center" vertical="center"/>
    </xf>
    <xf numFmtId="16" fontId="29" fillId="0" borderId="0" xfId="1" applyNumberFormat="1"/>
    <xf numFmtId="14" fontId="7" fillId="7" borderId="34" xfId="1" applyNumberFormat="1" applyFont="1" applyFill="1" applyBorder="1" applyAlignment="1">
      <alignment horizontal="center" vertical="center"/>
    </xf>
    <xf numFmtId="0" fontId="7" fillId="0" borderId="0" xfId="1" applyFont="1"/>
    <xf numFmtId="14" fontId="7" fillId="7" borderId="18" xfId="1" applyNumberFormat="1" applyFont="1" applyFill="1" applyBorder="1" applyAlignment="1">
      <alignment horizontal="center" vertical="center"/>
    </xf>
    <xf numFmtId="8" fontId="7" fillId="0" borderId="0" xfId="1" applyNumberFormat="1" applyFont="1" applyAlignment="1">
      <alignment horizontal="center" wrapText="1"/>
    </xf>
    <xf numFmtId="14" fontId="6" fillId="7" borderId="18" xfId="1" applyNumberFormat="1" applyFont="1" applyFill="1" applyBorder="1" applyAlignment="1">
      <alignment horizontal="center" vertical="center"/>
    </xf>
    <xf numFmtId="0" fontId="5" fillId="0" borderId="0" xfId="1" applyFont="1"/>
    <xf numFmtId="20" fontId="29" fillId="0" borderId="0" xfId="1" applyNumberFormat="1"/>
    <xf numFmtId="14" fontId="4" fillId="7" borderId="18" xfId="1" applyNumberFormat="1" applyFont="1" applyFill="1" applyBorder="1" applyAlignment="1">
      <alignment horizontal="center" vertical="center"/>
    </xf>
    <xf numFmtId="14" fontId="3" fillId="7" borderId="18" xfId="1" applyNumberFormat="1" applyFont="1" applyFill="1" applyBorder="1" applyAlignment="1">
      <alignment horizontal="center" vertical="center"/>
    </xf>
    <xf numFmtId="0" fontId="3" fillId="0" borderId="0" xfId="1" applyFont="1"/>
    <xf numFmtId="14" fontId="2" fillId="7" borderId="18" xfId="1" applyNumberFormat="1" applyFont="1" applyFill="1" applyBorder="1" applyAlignment="1">
      <alignment horizontal="center" vertical="center"/>
    </xf>
    <xf numFmtId="14" fontId="1" fillId="7" borderId="18" xfId="1" applyNumberFormat="1" applyFont="1" applyFill="1" applyBorder="1" applyAlignment="1">
      <alignment horizontal="center" vertical="center"/>
    </xf>
    <xf numFmtId="0" fontId="29" fillId="0" borderId="0" xfId="1" applyAlignment="1">
      <alignment horizontal="center" vertical="center" wrapText="1"/>
    </xf>
    <xf numFmtId="0" fontId="31" fillId="9" borderId="0" xfId="1" applyFont="1" applyFill="1" applyAlignment="1">
      <alignment horizontal="center" vertical="center"/>
    </xf>
    <xf numFmtId="0" fontId="29" fillId="0" borderId="1" xfId="1" applyBorder="1" applyAlignment="1">
      <alignment horizontal="center" vertical="center"/>
    </xf>
    <xf numFmtId="0" fontId="29" fillId="0" borderId="2" xfId="1" applyBorder="1" applyAlignment="1">
      <alignment horizontal="center" vertical="center"/>
    </xf>
    <xf numFmtId="0" fontId="29" fillId="0" borderId="4" xfId="1" applyBorder="1" applyAlignment="1">
      <alignment horizontal="center" vertical="center"/>
    </xf>
    <xf numFmtId="0" fontId="29" fillId="0" borderId="0" xfId="1" applyAlignment="1">
      <alignment horizontal="center" vertical="center"/>
    </xf>
    <xf numFmtId="0" fontId="29" fillId="0" borderId="19" xfId="1" applyBorder="1" applyAlignment="1">
      <alignment horizontal="center" vertical="center"/>
    </xf>
    <xf numFmtId="0" fontId="29" fillId="0" borderId="20" xfId="1" applyBorder="1" applyAlignment="1">
      <alignment horizontal="center" vertical="center"/>
    </xf>
    <xf numFmtId="0" fontId="34" fillId="0" borderId="21" xfId="1" applyFont="1" applyBorder="1" applyAlignment="1">
      <alignment horizontal="center" vertical="center"/>
    </xf>
    <xf numFmtId="0" fontId="34" fillId="0" borderId="22" xfId="1" applyFont="1" applyBorder="1" applyAlignment="1">
      <alignment horizontal="center" vertical="center"/>
    </xf>
    <xf numFmtId="0" fontId="34" fillId="0" borderId="23" xfId="1" applyFont="1" applyBorder="1" applyAlignment="1">
      <alignment horizontal="center" vertical="center"/>
    </xf>
    <xf numFmtId="0" fontId="34" fillId="0" borderId="24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4" fillId="0" borderId="25" xfId="1" applyFont="1" applyBorder="1" applyAlignment="1">
      <alignment horizontal="center" vertical="center"/>
    </xf>
    <xf numFmtId="0" fontId="34" fillId="0" borderId="26" xfId="1" applyFont="1" applyBorder="1" applyAlignment="1">
      <alignment horizontal="center" vertical="center"/>
    </xf>
    <xf numFmtId="0" fontId="34" fillId="0" borderId="6" xfId="1" applyFont="1" applyBorder="1" applyAlignment="1">
      <alignment horizontal="center" vertical="center"/>
    </xf>
    <xf numFmtId="0" fontId="34" fillId="0" borderId="27" xfId="1" applyFont="1" applyBorder="1" applyAlignment="1">
      <alignment horizontal="center" vertical="center"/>
    </xf>
  </cellXfs>
  <cellStyles count="6">
    <cellStyle name="Moeda" xfId="5" builtinId="4"/>
    <cellStyle name="Moeda 2" xfId="2" xr:uid="{84372E3D-43B7-41A1-B96F-A7E57A944E31}"/>
    <cellStyle name="Normal" xfId="0" builtinId="0"/>
    <cellStyle name="Normal 2" xfId="1" xr:uid="{D3D736CC-B9BA-430A-814A-0DE828D3782F}"/>
    <cellStyle name="Porcentagem" xfId="4" builtinId="5"/>
    <cellStyle name="Porcentagem 2" xfId="3" xr:uid="{1531AD31-118F-4576-8AD3-82BF3D0B3E8A}"/>
  </cellStyles>
  <dxfs count="7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Segoe UI"/>
        <family val="2"/>
        <scheme val="none"/>
      </font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1" formatCode="[h]:mm:ss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name val="Calibri"/>
        <family val="2"/>
      </font>
      <numFmt numFmtId="31" formatCode="[h]:mm:ss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left style="medium">
          <color theme="1"/>
        </left>
        <right style="medium">
          <color theme="1"/>
        </right>
        <bottom style="thin">
          <color theme="0"/>
        </bottom>
      </border>
    </dxf>
    <dxf>
      <numFmt numFmtId="14" formatCode="0.00%"/>
      <fill>
        <patternFill patternType="solid">
          <fgColor indexed="64"/>
          <bgColor theme="0" tint="-4.9989318521683403E-2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numFmt numFmtId="165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2" formatCode="&quot;R$&quot;\ #,##0.00;[Red]\-&quot;R$&quot;\ #,##0.00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bottom style="thin">
          <color rgb="FFFFFFFF"/>
        </bottom>
      </border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769076</xdr:colOff>
      <xdr:row>0</xdr:row>
      <xdr:rowOff>31461</xdr:rowOff>
    </xdr:from>
    <xdr:to>
      <xdr:col>2</xdr:col>
      <xdr:colOff>22044</xdr:colOff>
      <xdr:row>3</xdr:row>
      <xdr:rowOff>126713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AB7BE4-2BB8-4F70-8CA7-3BC72AC63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076" y="31461"/>
          <a:ext cx="932996" cy="7556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769076</xdr:colOff>
      <xdr:row>0</xdr:row>
      <xdr:rowOff>31461</xdr:rowOff>
    </xdr:from>
    <xdr:to>
      <xdr:col>2</xdr:col>
      <xdr:colOff>139972</xdr:colOff>
      <xdr:row>3</xdr:row>
      <xdr:rowOff>126713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0DC2D6-D4AE-4A89-97B9-A979D9B47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251" y="34636"/>
          <a:ext cx="926999" cy="758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334818</xdr:colOff>
      <xdr:row>0</xdr:row>
      <xdr:rowOff>28285</xdr:rowOff>
    </xdr:from>
    <xdr:to>
      <xdr:col>1</xdr:col>
      <xdr:colOff>599967</xdr:colOff>
      <xdr:row>3</xdr:row>
      <xdr:rowOff>140990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300C63-7A71-4CB2-838B-5BBC13086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418" y="34635"/>
          <a:ext cx="924176" cy="7574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330008</xdr:colOff>
      <xdr:row>0</xdr:row>
      <xdr:rowOff>34635</xdr:rowOff>
    </xdr:from>
    <xdr:to>
      <xdr:col>1</xdr:col>
      <xdr:colOff>456489</xdr:colOff>
      <xdr:row>3</xdr:row>
      <xdr:rowOff>182451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FF39C8-5A53-45B0-9641-B673B0D15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008" y="34635"/>
          <a:ext cx="926581" cy="75741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E8F61A-2ABE-4016-81CC-9B0AE0C45B71}" name="TabOrçamento" displayName="TabOrçamento" ref="A6:N48" totalsRowShown="0" tableBorderDxfId="74">
  <autoFilter ref="A6:N48" xr:uid="{93B9E3BD-7EE3-49B1-A3B0-79E0C37B45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E330DA0-906A-46EF-9FDB-B4CEF5CC1A23}" name="Data" dataDxfId="73" dataCellStyle="Normal 2"/>
    <tableColumn id="14" xr3:uid="{8704937E-9A13-4691-B8E8-6EAFC24C91C1}" name="Mês/Ano" dataDxfId="72" dataCellStyle="Normal 2">
      <calculatedColumnFormula>IF($A7="","",PROPER(TEXT($A7,"mmm")) &amp; "/" &amp; TEXT($A7,"aa"))</calculatedColumnFormula>
    </tableColumn>
    <tableColumn id="2" xr3:uid="{52FB26B8-0201-4464-A61B-70AA4C2D1502}" name="Cliente" dataDxfId="71" dataCellStyle="Normal 2"/>
    <tableColumn id="3" xr3:uid="{E4A54D7E-1F0C-4BFA-B9AA-D1D6061C55AB}" name="Produto" dataDxfId="70" dataCellStyle="Normal 2"/>
    <tableColumn id="4" xr3:uid="{3DC17EB7-24A0-4AA9-8067-3FD04F541710}" name="Quantidade" dataDxfId="69" dataCellStyle="Normal 2"/>
    <tableColumn id="5" xr3:uid="{29243DB6-5955-4B24-B2D2-1D650B83A14D}" name="Impressora" dataDxfId="68" dataCellStyle="Normal 2"/>
    <tableColumn id="6" xr3:uid="{7D13B601-94C9-4358-B582-A3745768DC66}" name="Filamento" dataDxfId="67" dataCellStyle="Normal 2"/>
    <tableColumn id="7" xr3:uid="{36A99104-C864-443A-8BCF-BB9ABFA41F6E}" name="Custo Unitário" dataDxfId="66" dataCellStyle="Normal 2">
      <calculatedColumnFormula array="1">IF($A7="","",_xlfn.XLOOKUP($B7 &amp; $D7 &amp; $F7 &amp; $G7, Produtos!$B:$B &amp; Produtos!$C:$C &amp; Produtos!$D:$D &amp; Produtos!$E:$E, Produtos!$P:$P, ""))</calculatedColumnFormula>
    </tableColumn>
    <tableColumn id="8" xr3:uid="{ECE19A37-6CCD-4EB6-BA8D-ACF57D5DD8E4}" name="Preço Venda Markup Unit." dataDxfId="65" dataCellStyle="Normal 2">
      <calculatedColumnFormula>IFERROR($H7*I$5,"")</calculatedColumnFormula>
    </tableColumn>
    <tableColumn id="9" xr3:uid="{B393E445-7D1E-4E76-AED5-D18D1CC8E466}" name="Total  Produtos" dataDxfId="64" dataCellStyle="Normal 2">
      <calculatedColumnFormula>IFERROR($E7*$I7,"")</calculatedColumnFormula>
    </tableColumn>
    <tableColumn id="11" xr3:uid="{FF936F05-686A-41B9-A8AD-B98D1501A6EC}" name="Desconto" dataDxfId="63" dataCellStyle="Normal 2"/>
    <tableColumn id="12" xr3:uid="{5F2CD6BC-68AA-4DED-B78A-3958BA1BB1AD}" name="Valor Vendido" dataDxfId="62" dataCellStyle="Normal 2"/>
    <tableColumn id="13" xr3:uid="{C5596B46-06E0-4CF6-A590-0F1F1E3FD508}" name="Lucro %" dataDxfId="61" dataCellStyle="Normal 2">
      <calculatedColumnFormula>IFERROR(IF(OR($L7="",$L7=0),"",($L7-$J7)/$J7),"")</calculatedColumnFormula>
    </tableColumn>
    <tableColumn id="10" xr3:uid="{D8044199-D255-E145-9545-B06B04E70FFE}" name="Valor Unitário" dataCellStyle="Normal 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9E3BD-7EE3-49B1-A3B0-79E0C37B45E8}" name="TabVendas" displayName="TabVendas" ref="A6:M32" totalsRowShown="0" tableBorderDxfId="60">
  <autoFilter ref="A6:M32" xr:uid="{93B9E3BD-7EE3-49B1-A3B0-79E0C37B45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18187AC-0B1D-4D90-808E-2CB162AA169A}" name="Data" dataDxfId="59" dataCellStyle="Normal 2"/>
    <tableColumn id="14" xr3:uid="{2DF8729A-0702-47C9-A027-3872DD3FEE9E}" name="Mês/Ano" dataDxfId="58" dataCellStyle="Normal 2">
      <calculatedColumnFormula>IF($A7="","",PROPER(TEXT($A7,"mmm")) &amp; "/" &amp; TEXT($A7,"aa"))</calculatedColumnFormula>
    </tableColumn>
    <tableColumn id="2" xr3:uid="{09F1BDA8-2D57-45E4-8A7E-792DA934F583}" name="Cliente" dataDxfId="57" dataCellStyle="Normal 2"/>
    <tableColumn id="3" xr3:uid="{5B9A5EB9-911E-4694-98BC-87EFD4DFB7CC}" name="Produto" dataDxfId="56" dataCellStyle="Normal 2"/>
    <tableColumn id="4" xr3:uid="{D1CD9457-1D9F-401E-8889-6B032CB95B11}" name="Quantidade" dataDxfId="55" dataCellStyle="Normal 2"/>
    <tableColumn id="5" xr3:uid="{198B6A74-D0C7-4B35-A9B1-8D922BFFF531}" name="Impressora" dataDxfId="54" dataCellStyle="Normal 2"/>
    <tableColumn id="6" xr3:uid="{207FE6DE-3690-4B19-8D56-371384A53B38}" name="Filamento" dataDxfId="53" dataCellStyle="Normal 2"/>
    <tableColumn id="7" xr3:uid="{B92DECBA-A240-4493-B07C-6DC56EF35DAF}" name="Custo Unitário" dataDxfId="52" dataCellStyle="Normal 2">
      <calculatedColumnFormula array="1">_xlfn.XLOOKUP($B7 &amp; $D7 &amp; $F7 &amp; $G7, Produtos!$B:$B &amp; Produtos!$C:$C &amp; Produtos!$D:$D &amp; Produtos!$E:$E, Produtos!$P:$P, "")</calculatedColumnFormula>
    </tableColumn>
    <tableColumn id="8" xr3:uid="{4B5CF2C2-FCD9-4E2F-B464-FEE681683BB1}" name="Preço Venda Markup Unit." dataDxfId="51" dataCellStyle="Normal 2">
      <calculatedColumnFormula>IFERROR($H7*I$5,"")</calculatedColumnFormula>
    </tableColumn>
    <tableColumn id="9" xr3:uid="{AED7EBFD-47E2-4E6D-8DC3-562644C8C4B8}" name="Total  Produtos" dataDxfId="50" dataCellStyle="Normal 2">
      <calculatedColumnFormula>IFERROR($E7*$I7,"")</calculatedColumnFormula>
    </tableColumn>
    <tableColumn id="11" xr3:uid="{28529FB2-FBB0-42E4-8ABE-5BF84ACFBC4E}" name="Desconto" dataDxfId="49" dataCellStyle="Normal 2"/>
    <tableColumn id="12" xr3:uid="{17734C94-ADDD-429C-8FEA-8125EE3EB9AE}" name="Valor Vendido" dataDxfId="48" dataCellStyle="Normal 2"/>
    <tableColumn id="13" xr3:uid="{0AAA0187-D1CA-4A45-8CB5-B82089108FD7}" name="Lucro %" dataDxfId="47" dataCellStyle="Normal 2">
      <calculatedColumnFormula>IFERROR(IF(OR($L7="",$L7=0),"",($L7-$J7)/$J7),"")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33077-AE7A-49AB-B0E8-5B495B05277C}" name="tProdutos" displayName="tProdutos" ref="A6:P58" totalsRowShown="0" headerRowDxfId="46">
  <tableColumns count="16">
    <tableColumn id="16" xr3:uid="{A00DF1AB-7899-4C37-A1F2-B6E5AFEF92A9}" name="Data Cadastro" dataDxfId="45"/>
    <tableColumn id="15" xr3:uid="{EBEAC9ED-F25D-42D6-B22A-686691205D44}" name="Mês/Ano" dataDxfId="44">
      <calculatedColumnFormula>IF($A7="","",PROPER(TEXT($A7,"mmm")) &amp; "/" &amp; TEXT($A7,"aa"))</calculatedColumnFormula>
    </tableColumn>
    <tableColumn id="1" xr3:uid="{59BF6940-5372-477E-B01C-CA3CB085FEB2}" name="Produto" dataDxfId="43"/>
    <tableColumn id="2" xr3:uid="{4E6E59F2-1927-4825-9C68-290B758C14C9}" name="Impressora" dataDxfId="42"/>
    <tableColumn id="3" xr3:uid="{1DF46412-CB2B-4896-A036-241D0AE60761}" name="Filamento" dataDxfId="41"/>
    <tableColumn id="4" xr3:uid="{4AED7301-4632-4F27-B0DF-C78267799C0D}" name="Quantidade (g)" dataDxfId="40"/>
    <tableColumn id="5" xr3:uid="{2B84AAD4-C591-432A-968A-BACB3FFF2E10}" name="Tempo (h)" dataDxfId="39"/>
    <tableColumn id="6" xr3:uid="{EB7DC3B8-4F66-4F05-A5F7-D04DA7E41A86}" name="Trabalho (h)" dataDxfId="38"/>
    <tableColumn id="7" xr3:uid="{997ABC9D-C899-42A1-BA43-D560F99E3044}" name="Insumos/Emb (R$)" dataDxfId="37"/>
    <tableColumn id="8" xr3:uid="{57F40F50-97B9-4E3E-A929-2A77BE325AA7}" name="Filamento (R$)" dataDxfId="36">
      <calculatedColumnFormula>IFERROR($F7/1000*VLOOKUP($E7,Filamentos!A$2:H$96,3,FALSE),"")</calculatedColumnFormula>
    </tableColumn>
    <tableColumn id="9" xr3:uid="{E03CEED7-EFFB-44DD-A917-9F1E7F2F6E93}" name="Eletricidade (R$)" dataDxfId="35"/>
    <tableColumn id="10" xr3:uid="{5077A494-08F5-4879-BCFE-11470F5F4016}" name="Depreciação (R$)" dataDxfId="34"/>
    <tableColumn id="11" xr3:uid="{F29CB03E-EC99-42E5-B32B-1C7CD3DC4896}" name="Depreciação (%)" dataDxfId="33">
      <calculatedColumnFormula>IFERROR(L7*100/P7,"")</calculatedColumnFormula>
    </tableColumn>
    <tableColumn id="12" xr3:uid="{8C5CAAD8-FFB6-48B7-83E9-593B00A33EA6}" name="Trabalho (R$)" dataDxfId="32"/>
    <tableColumn id="13" xr3:uid="{AA9EA8F8-68EA-4F52-887C-27B8BC1B140D}" name="Taxa Falha (R$)" dataDxfId="31">
      <calculatedColumnFormula>IFERROR(($I7+$J7+$K7+$L7+$N7)*Outros!$B$4,"")</calculatedColumnFormula>
    </tableColumn>
    <tableColumn id="14" xr3:uid="{1BE52236-5A01-4FF3-9851-A373DC4030E7}" name="Custo Unitário Total" dataDxfId="30">
      <calculatedColumnFormula>SUM(J7:L7)+SUM(N7:O7)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14428-920F-483B-AA76-B0E3F397BF8E}" name="Tab_Impressoras" displayName="Tab_Impressoras" ref="A1:G3" totalsRowShown="0" headerRowDxfId="29" headerRowCellStyle="Normal 2">
  <autoFilter ref="A1:G3" xr:uid="{CFB14428-920F-483B-AA76-B0E3F397BF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C98BA0B-EAF4-4D8B-B4F0-60B888938804}" name="Impressora" dataDxfId="28" dataCellStyle="Normal 2"/>
    <tableColumn id="2" xr3:uid="{51C6A7FB-35BB-46EA-97A6-AB5B5CD397A4}" name="Fabricante" dataDxfId="27" dataCellStyle="Normal 2"/>
    <tableColumn id="3" xr3:uid="{FF663E73-8F68-41E3-820E-8A68A1453A5C}" name="Preço [R$]" dataDxfId="26" dataCellStyle="Moeda 2"/>
    <tableColumn id="4" xr3:uid="{B25E7BDA-2A42-4E18-809D-B808ECE9CF8F}" name="Depreciação (h)" dataDxfId="25" dataCellStyle="Normal 2"/>
    <tableColumn id="5" xr3:uid="{57571680-489C-428F-B13A-9C071ABAAC77}" name="Custo Manut (R$)" dataDxfId="24" dataCellStyle="Normal 2"/>
    <tableColumn id="6" xr3:uid="{D7F600B6-360D-43E9-8798-0DA4F7593957}" name="Cons Máx Energia (kW/h)" dataDxfId="23" dataCellStyle="Normal 2"/>
    <tableColumn id="7" xr3:uid="{7BA5675D-B1CA-4F7F-9895-3792C3077772}" name="Depreciação [R$/h]" dataDxfId="22" dataCellStyle="Moeda 2">
      <calculatedColumnFormula>(C2+E2)/D2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847CAC-31E9-4F0F-971E-92F4B3834B95}" name="Tabela6" displayName="Tabela6" ref="A1:H10" totalsRowShown="0" headerRowDxfId="21" dataDxfId="20">
  <autoFilter ref="A1:H10" xr:uid="{C4847CAC-31E9-4F0F-971E-92F4B3834B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094197-2CF5-4065-920E-E2C7FA0044BC}" name="Fabricante Filamento" dataDxfId="19"/>
    <tableColumn id="2" xr3:uid="{9EBF2475-D646-4AB5-9E9B-0B47683E1275}" name="Diâmetro (mm)" dataDxfId="18"/>
    <tableColumn id="3" xr3:uid="{F207432C-5CE4-4604-BAA2-70DE0FA4C6A3}" name="Preço Carretel (R$)" dataDxfId="17"/>
    <tableColumn id="4" xr3:uid="{FF485E6E-22C1-4712-9A0E-E5B692D91301}" name="Peso Carretel (g)" dataDxfId="16"/>
    <tableColumn id="5" xr3:uid="{ED1EAD8A-9DFD-47E7-8D07-165C11FE569B}" name="Densidade (g/cm³)" dataDxfId="15"/>
    <tableColumn id="6" xr3:uid="{4F8A29FC-37FC-4241-A6AD-575CA6E190B6}" name="Temp. do bico (°C)" dataDxfId="14"/>
    <tableColumn id="7" xr3:uid="{66597C8B-585D-426F-A249-480D3EC1BF6C}" name="Temp. da Mesa (°C)" dataDxfId="13"/>
    <tableColumn id="8" xr3:uid="{9AECB478-5E66-4D76-97EE-1FC7121706AC}" name="Comprimento p/ rolo (m)" dataDxfId="1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A2B3-3C66-49C4-BCF2-ED54F76C0CC3}">
  <dimension ref="A1:N57"/>
  <sheetViews>
    <sheetView showGridLines="0" topLeftCell="D1" zoomScale="140" zoomScaleNormal="140" workbookViewId="0">
      <pane ySplit="6" topLeftCell="A28" activePane="bottomLeft" state="frozen"/>
      <selection pane="bottomLeft" activeCell="A35" sqref="A35:XFD35"/>
    </sheetView>
  </sheetViews>
  <sheetFormatPr baseColWidth="10" defaultColWidth="10.6640625" defaultRowHeight="16"/>
  <cols>
    <col min="1" max="1" width="12" style="10" customWidth="1"/>
    <col min="2" max="2" width="10" style="10" customWidth="1"/>
    <col min="3" max="3" width="22.6640625" style="10" customWidth="1"/>
    <col min="4" max="4" width="29.83203125" style="10" customWidth="1"/>
    <col min="5" max="5" width="11.33203125" style="10" customWidth="1"/>
    <col min="6" max="6" width="12.1640625" style="10" customWidth="1"/>
    <col min="7" max="7" width="23.33203125" style="10" bestFit="1" customWidth="1"/>
    <col min="8" max="8" width="11.1640625" style="10" customWidth="1"/>
    <col min="9" max="9" width="13.1640625" style="10" customWidth="1"/>
    <col min="10" max="10" width="12" style="10" customWidth="1"/>
    <col min="11" max="11" width="8.6640625" style="10" customWidth="1"/>
    <col min="12" max="12" width="11.83203125" style="10" customWidth="1"/>
    <col min="13" max="13" width="9.5" style="10" customWidth="1"/>
    <col min="14" max="16384" width="10.6640625" style="10"/>
  </cols>
  <sheetData>
    <row r="1" spans="1:14" ht="16" customHeight="1">
      <c r="A1" s="198"/>
      <c r="B1" s="199"/>
      <c r="C1" s="199"/>
      <c r="D1" s="200"/>
      <c r="E1" s="201"/>
      <c r="F1" s="202"/>
      <c r="G1" s="202"/>
      <c r="H1" s="202"/>
      <c r="I1" s="202"/>
      <c r="J1" s="202"/>
      <c r="K1" s="202"/>
      <c r="L1" s="202"/>
      <c r="M1" s="201"/>
      <c r="N1" s="201"/>
    </row>
    <row r="2" spans="1:14" ht="20" customHeight="1">
      <c r="A2" s="203"/>
      <c r="B2" s="204"/>
      <c r="C2" s="205" t="s">
        <v>0</v>
      </c>
      <c r="D2" s="206"/>
      <c r="E2" s="206"/>
      <c r="F2" s="206"/>
      <c r="G2" s="206"/>
      <c r="H2" s="206"/>
      <c r="I2" s="206"/>
      <c r="J2" s="207"/>
      <c r="K2" s="208"/>
      <c r="L2" s="208"/>
      <c r="M2" s="201"/>
      <c r="N2" s="201"/>
    </row>
    <row r="3" spans="1:14" ht="16" customHeight="1">
      <c r="A3" s="203"/>
      <c r="B3" s="204"/>
      <c r="C3" s="204"/>
      <c r="D3" s="209"/>
      <c r="E3" s="208"/>
      <c r="F3" s="208"/>
      <c r="G3" s="208"/>
      <c r="H3" s="208"/>
      <c r="I3" s="208"/>
      <c r="J3" s="208"/>
      <c r="K3" s="208"/>
      <c r="L3" s="208"/>
      <c r="M3" s="201"/>
      <c r="N3" s="201"/>
    </row>
    <row r="4" spans="1:14" ht="17" customHeight="1" thickBot="1">
      <c r="A4" s="210"/>
      <c r="B4" s="211"/>
      <c r="C4" s="211"/>
      <c r="D4" s="212"/>
      <c r="E4" s="213"/>
      <c r="F4" s="213"/>
      <c r="G4" s="213"/>
      <c r="H4" s="213"/>
      <c r="I4" s="213"/>
      <c r="J4" s="213"/>
      <c r="K4" s="213"/>
      <c r="L4" s="213"/>
      <c r="M4" s="201"/>
      <c r="N4" s="201"/>
    </row>
    <row r="5" spans="1:14" ht="17" thickBot="1">
      <c r="A5" s="109"/>
      <c r="B5" s="109"/>
      <c r="C5" s="109"/>
      <c r="D5" s="109"/>
      <c r="E5" s="109"/>
      <c r="F5" s="109"/>
      <c r="G5" s="110"/>
      <c r="H5" s="157" t="s">
        <v>1</v>
      </c>
      <c r="I5" s="156">
        <v>1.8</v>
      </c>
      <c r="J5" s="112"/>
      <c r="K5" s="111"/>
      <c r="L5" s="111"/>
      <c r="M5" s="111"/>
      <c r="N5" s="111"/>
    </row>
    <row r="6" spans="1:14" s="105" customFormat="1" ht="35" thickBot="1">
      <c r="A6" s="135" t="s">
        <v>2</v>
      </c>
      <c r="B6" s="78" t="s">
        <v>3</v>
      </c>
      <c r="C6" s="133" t="s">
        <v>4</v>
      </c>
      <c r="D6" s="102" t="s">
        <v>5</v>
      </c>
      <c r="E6" s="107" t="s">
        <v>6</v>
      </c>
      <c r="F6" s="102" t="s">
        <v>7</v>
      </c>
      <c r="G6" s="107" t="s">
        <v>8</v>
      </c>
      <c r="H6" s="128" t="s">
        <v>9</v>
      </c>
      <c r="I6" s="127" t="s">
        <v>10</v>
      </c>
      <c r="J6" s="127" t="s">
        <v>11</v>
      </c>
      <c r="K6" s="103" t="s">
        <v>12</v>
      </c>
      <c r="L6" s="93" t="s">
        <v>13</v>
      </c>
      <c r="M6" s="138" t="s">
        <v>14</v>
      </c>
      <c r="N6" s="258" t="s">
        <v>37</v>
      </c>
    </row>
    <row r="7" spans="1:14" ht="17" thickBot="1">
      <c r="A7" s="136">
        <v>46068</v>
      </c>
      <c r="B7" s="136" t="str">
        <f t="shared" ref="B7:B24" si="0">IF($A7="","",PROPER(TEXT($A7,"mmm")) &amp; "/" &amp; TEXT($A7,"aa"))</f>
        <v>Fev/26</v>
      </c>
      <c r="C7" s="220" t="s">
        <v>136</v>
      </c>
      <c r="D7" s="115" t="s">
        <v>123</v>
      </c>
      <c r="E7" s="129">
        <v>1</v>
      </c>
      <c r="F7" s="115" t="s">
        <v>113</v>
      </c>
      <c r="G7" s="113" t="s">
        <v>112</v>
      </c>
      <c r="H7" s="108" cm="1">
        <f t="array" ref="H7">IF($A7="","",_xlfn.XLOOKUP($B7 &amp; $D7 &amp; $F7 &amp; $G7, Produtos!$B:$B &amp; Produtos!$C:$C &amp; Produtos!$D:$D &amp; Produtos!$E:$E, Produtos!$P:$P, ""))</f>
        <v>60.150343126666662</v>
      </c>
      <c r="I7" s="177">
        <f t="shared" ref="I7:I24" si="1">IFERROR($H7*I$5,"")</f>
        <v>108.270617628</v>
      </c>
      <c r="J7" s="146">
        <f>IFERROR($E7*$I7,"")</f>
        <v>108.270617628</v>
      </c>
      <c r="K7" s="117">
        <v>0</v>
      </c>
      <c r="L7" s="148"/>
      <c r="M7" s="139" t="str">
        <f t="shared" ref="M7:M24" si="2">IFERROR(IF(OR($L7="",$L7=0),"",($L7-$J7)/$J7),"")</f>
        <v/>
      </c>
      <c r="N7" s="80"/>
    </row>
    <row r="8" spans="1:14">
      <c r="A8" s="137">
        <v>46099</v>
      </c>
      <c r="B8" s="137" t="str">
        <f t="shared" si="0"/>
        <v>Mar/26</v>
      </c>
      <c r="C8" s="218" t="s">
        <v>137</v>
      </c>
      <c r="D8" s="116" t="s">
        <v>138</v>
      </c>
      <c r="E8" s="130">
        <v>1</v>
      </c>
      <c r="F8" s="116" t="s">
        <v>113</v>
      </c>
      <c r="G8" s="114" t="s">
        <v>111</v>
      </c>
      <c r="H8" s="108" t="str" cm="1">
        <f t="array" ref="H8">IF($A8="","",_xlfn.XLOOKUP($B8 &amp; $D8 &amp; $F8 &amp; $G8, Produtos!$B:$B &amp; Produtos!$C:$C &amp; Produtos!$D:$D &amp; Produtos!$E:$E, Produtos!$P:$P, ""))</f>
        <v/>
      </c>
      <c r="I8" s="177" t="str">
        <f t="shared" si="1"/>
        <v/>
      </c>
      <c r="J8" s="146" t="str">
        <f t="shared" ref="J8:J24" si="3">IFERROR($E8*$I8,"")</f>
        <v/>
      </c>
      <c r="K8" s="118">
        <v>0</v>
      </c>
      <c r="L8" s="149"/>
      <c r="M8" s="139" t="str">
        <f t="shared" si="2"/>
        <v/>
      </c>
    </row>
    <row r="9" spans="1:14">
      <c r="A9" s="137">
        <v>46099</v>
      </c>
      <c r="B9" s="137" t="str">
        <f t="shared" si="0"/>
        <v>Mar/26</v>
      </c>
      <c r="C9" s="222" t="s">
        <v>137</v>
      </c>
      <c r="D9" s="116" t="s">
        <v>139</v>
      </c>
      <c r="E9" s="130">
        <v>1</v>
      </c>
      <c r="F9" s="116" t="s">
        <v>113</v>
      </c>
      <c r="G9" s="114" t="s">
        <v>18</v>
      </c>
      <c r="H9" s="108" cm="1">
        <f t="array" ref="H9">IF($A9="","",_xlfn.XLOOKUP($B9 &amp; $D9 &amp; $F9 &amp; $G9, Produtos!$B:$B &amp; Produtos!$C:$C &amp; Produtos!$D:$D &amp; Produtos!$E:$E, Produtos!$P:$P, ""))</f>
        <v>14.116119453333333</v>
      </c>
      <c r="I9" s="177">
        <f t="shared" si="1"/>
        <v>25.409015016000001</v>
      </c>
      <c r="J9" s="146">
        <f t="shared" si="3"/>
        <v>25.409015016000001</v>
      </c>
      <c r="K9" s="118">
        <v>0</v>
      </c>
      <c r="L9" s="151">
        <v>50</v>
      </c>
      <c r="M9" s="139">
        <f t="shared" si="2"/>
        <v>0.96780551975411522</v>
      </c>
    </row>
    <row r="10" spans="1:14" ht="17" thickBot="1">
      <c r="A10" s="137">
        <v>46069</v>
      </c>
      <c r="B10" s="137" t="str">
        <f t="shared" si="0"/>
        <v>Fev/26</v>
      </c>
      <c r="C10" s="223" t="s">
        <v>141</v>
      </c>
      <c r="D10" s="116" t="s">
        <v>127</v>
      </c>
      <c r="E10" s="130">
        <v>1</v>
      </c>
      <c r="F10" s="116" t="s">
        <v>113</v>
      </c>
      <c r="G10" s="114" t="s">
        <v>110</v>
      </c>
      <c r="H10" s="108" cm="1">
        <f t="array" ref="H10">IF($A10="","",_xlfn.XLOOKUP($B10 &amp; $D10 &amp; $F10 &amp; $G10, Produtos!$B:$B &amp; Produtos!$C:$C &amp; Produtos!$D:$D &amp; Produtos!$E:$E, Produtos!$P:$P, ""))</f>
        <v>48.09252445333334</v>
      </c>
      <c r="I10" s="177">
        <f t="shared" si="1"/>
        <v>86.566544016000009</v>
      </c>
      <c r="J10" s="146">
        <f t="shared" si="3"/>
        <v>86.566544016000009</v>
      </c>
      <c r="K10" s="118"/>
      <c r="L10" s="150"/>
      <c r="M10" s="139" t="str">
        <f t="shared" si="2"/>
        <v/>
      </c>
    </row>
    <row r="11" spans="1:14" ht="17" thickBot="1">
      <c r="A11" s="137">
        <v>46103</v>
      </c>
      <c r="B11" s="137" t="str">
        <f t="shared" si="0"/>
        <v>Mar/26</v>
      </c>
      <c r="C11" s="226" t="s">
        <v>143</v>
      </c>
      <c r="D11" s="116" t="s">
        <v>142</v>
      </c>
      <c r="E11" s="130">
        <v>1</v>
      </c>
      <c r="F11" s="116" t="s">
        <v>113</v>
      </c>
      <c r="G11" s="114" t="s">
        <v>111</v>
      </c>
      <c r="H11" s="108" cm="1">
        <f t="array" ref="H11">IF($A11="","",_xlfn.XLOOKUP($B11 &amp; $D11 &amp; $F11 &amp; $G11, Produtos!$B:$B &amp; Produtos!$C:$C &amp; Produtos!$D:$D &amp; Produtos!$E:$E, Produtos!$P:$P, ""))</f>
        <v>31.531133700000002</v>
      </c>
      <c r="I11" s="177">
        <f t="shared" si="1"/>
        <v>56.756040660000004</v>
      </c>
      <c r="J11" s="146">
        <f t="shared" si="3"/>
        <v>56.756040660000004</v>
      </c>
      <c r="K11" s="118"/>
      <c r="L11" s="150">
        <v>80</v>
      </c>
      <c r="M11" s="139">
        <f t="shared" si="2"/>
        <v>0.409541593629551</v>
      </c>
    </row>
    <row r="12" spans="1:14" ht="17" thickBot="1">
      <c r="A12" s="137">
        <v>46103</v>
      </c>
      <c r="B12" s="137" t="str">
        <f t="shared" si="0"/>
        <v>Mar/26</v>
      </c>
      <c r="C12" s="137" t="s">
        <v>143</v>
      </c>
      <c r="D12" s="116" t="s">
        <v>144</v>
      </c>
      <c r="E12" s="130">
        <v>1</v>
      </c>
      <c r="F12" s="116" t="s">
        <v>113</v>
      </c>
      <c r="G12" s="114" t="s">
        <v>111</v>
      </c>
      <c r="H12" s="108" cm="1">
        <f t="array" ref="H12">IF($A12="","",_xlfn.XLOOKUP($B12 &amp; $D12 &amp; $F12 &amp; $G12, Produtos!$B:$B &amp; Produtos!$C:$C &amp; Produtos!$D:$D &amp; Produtos!$E:$E, Produtos!$P:$P, ""))</f>
        <v>30.784477019999997</v>
      </c>
      <c r="I12" s="177">
        <f t="shared" si="1"/>
        <v>55.412058635999998</v>
      </c>
      <c r="J12" s="146">
        <f t="shared" si="3"/>
        <v>55.412058635999998</v>
      </c>
      <c r="K12" s="119"/>
      <c r="L12" s="150">
        <v>95</v>
      </c>
      <c r="M12" s="139">
        <f t="shared" si="2"/>
        <v>0.71442827316797408</v>
      </c>
    </row>
    <row r="13" spans="1:14" ht="17" thickBot="1">
      <c r="A13" s="137">
        <v>46103</v>
      </c>
      <c r="B13" s="137" t="str">
        <f t="shared" si="0"/>
        <v>Mar/26</v>
      </c>
      <c r="C13" s="235" t="s">
        <v>137</v>
      </c>
      <c r="D13" s="116" t="s">
        <v>145</v>
      </c>
      <c r="E13" s="130">
        <v>1</v>
      </c>
      <c r="F13" s="116" t="s">
        <v>113</v>
      </c>
      <c r="G13" s="114" t="s">
        <v>110</v>
      </c>
      <c r="H13" s="108" cm="1">
        <f t="array" ref="H13">IF($A13="","",_xlfn.XLOOKUP($B13 &amp; $D13 &amp; $F13 &amp; $G13, Produtos!$B:$B &amp; Produtos!$C:$C &amp; Produtos!$D:$D &amp; Produtos!$E:$E, Produtos!$P:$P, ""))</f>
        <v>39.476720084999997</v>
      </c>
      <c r="I13" s="177">
        <f t="shared" si="1"/>
        <v>71.058096152999994</v>
      </c>
      <c r="J13" s="146">
        <f t="shared" si="3"/>
        <v>71.058096152999994</v>
      </c>
      <c r="K13" s="118"/>
      <c r="L13" s="150">
        <v>85</v>
      </c>
      <c r="M13" s="139">
        <f t="shared" si="2"/>
        <v>0.19620429763528635</v>
      </c>
    </row>
    <row r="14" spans="1:14" ht="17" thickBot="1">
      <c r="A14" s="137">
        <v>46072</v>
      </c>
      <c r="B14" s="137" t="str">
        <f t="shared" si="0"/>
        <v>Fev/26</v>
      </c>
      <c r="C14" s="238" t="s">
        <v>137</v>
      </c>
      <c r="D14" s="116" t="s">
        <v>146</v>
      </c>
      <c r="E14" s="130">
        <v>1</v>
      </c>
      <c r="F14" s="116" t="s">
        <v>113</v>
      </c>
      <c r="G14" s="114" t="s">
        <v>111</v>
      </c>
      <c r="H14" s="108" cm="1">
        <f t="array" ref="H14">IF($A14="","",_xlfn.XLOOKUP($B14 &amp; $D14 &amp; $F14 &amp; $G14, Produtos!$B:$B &amp; Produtos!$C:$C &amp; Produtos!$D:$D &amp; Produtos!$E:$E, Produtos!$P:$P, ""))</f>
        <v>32.761642264999999</v>
      </c>
      <c r="I14" s="177">
        <f t="shared" si="1"/>
        <v>58.970956076999997</v>
      </c>
      <c r="J14" s="146">
        <f t="shared" si="3"/>
        <v>58.970956076999997</v>
      </c>
      <c r="K14" s="118"/>
      <c r="L14" s="150">
        <v>65</v>
      </c>
      <c r="M14" s="139">
        <f t="shared" si="2"/>
        <v>0.10223751358427553</v>
      </c>
    </row>
    <row r="15" spans="1:14" ht="17" thickBot="1">
      <c r="A15" s="137">
        <v>46105</v>
      </c>
      <c r="B15" s="137" t="str">
        <f t="shared" si="0"/>
        <v>Mar/26</v>
      </c>
      <c r="C15" s="239" t="s">
        <v>148</v>
      </c>
      <c r="D15" s="116" t="s">
        <v>147</v>
      </c>
      <c r="E15" s="130">
        <v>1</v>
      </c>
      <c r="F15" s="116" t="s">
        <v>113</v>
      </c>
      <c r="G15" s="114" t="s">
        <v>110</v>
      </c>
      <c r="H15" s="108" cm="1">
        <f t="array" ref="H15">IF($A15="","",_xlfn.XLOOKUP($B15 &amp; $D15 &amp; $F15 &amp; $G15, Produtos!$B:$B &amp; Produtos!$C:$C &amp; Produtos!$D:$D &amp; Produtos!$E:$E, Produtos!$P:$P, ""))</f>
        <v>14.559258505000001</v>
      </c>
      <c r="I15" s="177">
        <f t="shared" si="1"/>
        <v>26.206665309000002</v>
      </c>
      <c r="J15" s="146">
        <f t="shared" si="3"/>
        <v>26.206665309000002</v>
      </c>
      <c r="K15" s="118"/>
      <c r="L15" s="150">
        <v>50</v>
      </c>
      <c r="M15" s="139">
        <f t="shared" si="2"/>
        <v>0.90791157174922188</v>
      </c>
    </row>
    <row r="16" spans="1:14" ht="17" thickBot="1">
      <c r="A16" s="137">
        <v>46119</v>
      </c>
      <c r="B16" s="137" t="str">
        <f t="shared" si="0"/>
        <v>Abr/26</v>
      </c>
      <c r="C16" s="240" t="s">
        <v>150</v>
      </c>
      <c r="D16" s="116" t="s">
        <v>149</v>
      </c>
      <c r="E16" s="130">
        <v>1</v>
      </c>
      <c r="F16" s="116" t="s">
        <v>113</v>
      </c>
      <c r="G16" s="114" t="s">
        <v>89</v>
      </c>
      <c r="H16" s="108" cm="1">
        <f t="array" ref="H16">IF($A16="","",_xlfn.XLOOKUP($B16 &amp; $D16 &amp; $F16 &amp; $G16, Produtos!$B:$B &amp; Produtos!$C:$C &amp; Produtos!$D:$D &amp; Produtos!$E:$E, Produtos!$P:$P, ""))</f>
        <v>30.175958835000003</v>
      </c>
      <c r="I16" s="177">
        <f t="shared" si="1"/>
        <v>54.316725903000005</v>
      </c>
      <c r="J16" s="146">
        <f t="shared" si="3"/>
        <v>54.316725903000005</v>
      </c>
      <c r="K16" s="118"/>
      <c r="L16" s="150">
        <v>65</v>
      </c>
      <c r="M16" s="139">
        <f t="shared" si="2"/>
        <v>0.1966847949576051</v>
      </c>
    </row>
    <row r="17" spans="1:14" ht="17" thickBot="1">
      <c r="A17" s="137">
        <v>46119</v>
      </c>
      <c r="B17" s="137" t="str">
        <f t="shared" si="0"/>
        <v>Abr/26</v>
      </c>
      <c r="C17" s="240" t="s">
        <v>150</v>
      </c>
      <c r="D17" s="116" t="s">
        <v>151</v>
      </c>
      <c r="E17" s="130">
        <v>1</v>
      </c>
      <c r="F17" s="116" t="s">
        <v>113</v>
      </c>
      <c r="G17" s="114" t="s">
        <v>89</v>
      </c>
      <c r="H17" s="108" cm="1">
        <f t="array" ref="H17">IF($A17="","",_xlfn.XLOOKUP($B17 &amp; $D17 &amp; $F17 &amp; $G17, Produtos!$B:$B &amp; Produtos!$C:$C &amp; Produtos!$D:$D &amp; Produtos!$E:$E, Produtos!$P:$P, ""))</f>
        <v>66.618160638333336</v>
      </c>
      <c r="I17" s="177">
        <f t="shared" si="1"/>
        <v>119.912689149</v>
      </c>
      <c r="J17" s="146">
        <f t="shared" si="3"/>
        <v>119.912689149</v>
      </c>
      <c r="K17" s="118"/>
      <c r="L17" s="150"/>
      <c r="M17" s="139" t="str">
        <f t="shared" si="2"/>
        <v/>
      </c>
    </row>
    <row r="18" spans="1:14" ht="17" thickBot="1">
      <c r="A18" s="137">
        <v>46124</v>
      </c>
      <c r="B18" s="137" t="str">
        <f t="shared" si="0"/>
        <v>Abr/26</v>
      </c>
      <c r="C18" s="137" t="s">
        <v>153</v>
      </c>
      <c r="D18" s="116" t="s">
        <v>152</v>
      </c>
      <c r="E18" s="130">
        <v>1</v>
      </c>
      <c r="F18" s="116" t="s">
        <v>113</v>
      </c>
      <c r="G18" s="114" t="s">
        <v>110</v>
      </c>
      <c r="H18" s="108" cm="1">
        <f t="array" ref="H18">IF($A18="","",_xlfn.XLOOKUP($B18 &amp; $D18 &amp; $F18 &amp; $G18, Produtos!$B:$B &amp; Produtos!$C:$C &amp; Produtos!$D:$D &amp; Produtos!$E:$E, Produtos!$P:$P, ""))</f>
        <v>28.50247095666667</v>
      </c>
      <c r="I18" s="177">
        <f t="shared" si="1"/>
        <v>51.304447722000006</v>
      </c>
      <c r="J18" s="146">
        <f t="shared" si="3"/>
        <v>51.304447722000006</v>
      </c>
      <c r="K18" s="119"/>
      <c r="L18" s="150">
        <v>80</v>
      </c>
      <c r="M18" s="139">
        <f t="shared" si="2"/>
        <v>0.55931899771128368</v>
      </c>
    </row>
    <row r="19" spans="1:14" ht="17" thickBot="1">
      <c r="A19" s="137">
        <v>46125</v>
      </c>
      <c r="B19" s="137" t="str">
        <f t="shared" si="0"/>
        <v>Abr/26</v>
      </c>
      <c r="C19" s="244" t="s">
        <v>154</v>
      </c>
      <c r="D19" s="116" t="s">
        <v>155</v>
      </c>
      <c r="E19" s="130">
        <v>1</v>
      </c>
      <c r="F19" s="116" t="s">
        <v>113</v>
      </c>
      <c r="G19" s="114" t="s">
        <v>18</v>
      </c>
      <c r="H19" s="108" cm="1">
        <f t="array" ref="H19">IF($A19="","",_xlfn.XLOOKUP($B19 &amp; $D19 &amp; $F19 &amp; $G19, Produtos!$B:$B &amp; Produtos!$C:$C &amp; Produtos!$D:$D &amp; Produtos!$E:$E, Produtos!$P:$P, ""))</f>
        <v>6.984528815</v>
      </c>
      <c r="I19" s="177">
        <f t="shared" si="1"/>
        <v>12.572151867000001</v>
      </c>
      <c r="J19" s="146">
        <f t="shared" si="3"/>
        <v>12.572151867000001</v>
      </c>
      <c r="K19" s="118"/>
      <c r="L19" s="150"/>
      <c r="M19" s="139" t="str">
        <f t="shared" si="2"/>
        <v/>
      </c>
    </row>
    <row r="20" spans="1:14" ht="17" thickBot="1">
      <c r="A20" s="137">
        <v>46126</v>
      </c>
      <c r="B20" s="137" t="str">
        <f t="shared" si="0"/>
        <v>Abr/26</v>
      </c>
      <c r="C20" s="245" t="s">
        <v>154</v>
      </c>
      <c r="D20" s="116" t="s">
        <v>156</v>
      </c>
      <c r="E20" s="130">
        <v>1</v>
      </c>
      <c r="F20" s="116" t="s">
        <v>113</v>
      </c>
      <c r="G20" s="114" t="s">
        <v>110</v>
      </c>
      <c r="H20" s="108" cm="1">
        <f t="array" ref="H20">IF($A20="","",_xlfn.XLOOKUP($B20 &amp; $D20 &amp; $F20 &amp; $G20, Produtos!$B:$B &amp; Produtos!$C:$C &amp; Produtos!$D:$D &amp; Produtos!$E:$E, Produtos!$P:$P, ""))</f>
        <v>8.1070665899999987</v>
      </c>
      <c r="I20" s="177">
        <f t="shared" si="1"/>
        <v>14.592719861999997</v>
      </c>
      <c r="J20" s="146">
        <f t="shared" si="3"/>
        <v>14.592719861999997</v>
      </c>
      <c r="K20" s="118"/>
      <c r="L20" s="150"/>
      <c r="M20" s="139" t="str">
        <f t="shared" si="2"/>
        <v/>
      </c>
    </row>
    <row r="21" spans="1:14" ht="17" thickBot="1">
      <c r="A21" s="137">
        <v>46126</v>
      </c>
      <c r="B21" s="137" t="str">
        <f t="shared" si="0"/>
        <v>Abr/26</v>
      </c>
      <c r="C21" s="245" t="s">
        <v>154</v>
      </c>
      <c r="D21" s="116" t="s">
        <v>157</v>
      </c>
      <c r="E21" s="130">
        <v>1</v>
      </c>
      <c r="F21" s="116" t="s">
        <v>113</v>
      </c>
      <c r="G21" s="114" t="s">
        <v>110</v>
      </c>
      <c r="H21" s="108" cm="1">
        <f t="array" ref="H21">IF($A21="","",_xlfn.XLOOKUP($B21 &amp; $D21 &amp; $F21 &amp; $G21, Produtos!$B:$B &amp; Produtos!$C:$C &amp; Produtos!$D:$D &amp; Produtos!$E:$E, Produtos!$P:$P, ""))</f>
        <v>31.250825893333335</v>
      </c>
      <c r="I21" s="177">
        <f t="shared" si="1"/>
        <v>56.251486608000008</v>
      </c>
      <c r="J21" s="146">
        <f t="shared" si="3"/>
        <v>56.251486608000008</v>
      </c>
      <c r="K21" s="118"/>
      <c r="L21" s="150"/>
      <c r="M21" s="139" t="str">
        <f t="shared" si="2"/>
        <v/>
      </c>
      <c r="N21" s="80"/>
    </row>
    <row r="22" spans="1:14" ht="17" thickBot="1">
      <c r="A22" s="137">
        <v>46126</v>
      </c>
      <c r="B22" s="137" t="str">
        <f t="shared" si="0"/>
        <v>Abr/26</v>
      </c>
      <c r="C22" s="245" t="s">
        <v>153</v>
      </c>
      <c r="D22" s="116" t="s">
        <v>158</v>
      </c>
      <c r="E22" s="130">
        <v>1</v>
      </c>
      <c r="F22" s="116" t="s">
        <v>113</v>
      </c>
      <c r="G22" s="114" t="s">
        <v>18</v>
      </c>
      <c r="H22" s="108" cm="1">
        <f t="array" ref="H22">IF($A22="","",_xlfn.XLOOKUP($B22 &amp; $D22 &amp; $F22 &amp; $G22, Produtos!$B:$B &amp; Produtos!$C:$C &amp; Produtos!$D:$D &amp; Produtos!$E:$E, Produtos!$P:$P, ""))</f>
        <v>73.062884400000002</v>
      </c>
      <c r="I22" s="177">
        <f t="shared" si="1"/>
        <v>131.51319192</v>
      </c>
      <c r="J22" s="146">
        <f t="shared" si="3"/>
        <v>131.51319192</v>
      </c>
      <c r="K22" s="118"/>
      <c r="L22" s="150"/>
      <c r="M22" s="139" t="str">
        <f t="shared" si="2"/>
        <v/>
      </c>
    </row>
    <row r="23" spans="1:14" ht="17" thickBot="1">
      <c r="A23" s="137">
        <v>46127</v>
      </c>
      <c r="B23" s="137" t="str">
        <f t="shared" si="0"/>
        <v>Abr/26</v>
      </c>
      <c r="C23" s="246" t="s">
        <v>160</v>
      </c>
      <c r="D23" s="116" t="s">
        <v>159</v>
      </c>
      <c r="E23" s="130">
        <v>1</v>
      </c>
      <c r="F23" s="116" t="s">
        <v>113</v>
      </c>
      <c r="G23" s="114" t="s">
        <v>111</v>
      </c>
      <c r="H23" s="108" cm="1">
        <f t="array" ref="H23">IF($A23="","",_xlfn.XLOOKUP($B23 &amp; $D23 &amp; $F23 &amp; $G23, Produtos!$B:$B &amp; Produtos!$C:$C &amp; Produtos!$D:$D &amp; Produtos!$E:$E, Produtos!$P:$P, ""))</f>
        <v>69.018969733333336</v>
      </c>
      <c r="I23" s="177">
        <f t="shared" si="1"/>
        <v>124.23414552000001</v>
      </c>
      <c r="J23" s="146">
        <f t="shared" si="3"/>
        <v>124.23414552000001</v>
      </c>
      <c r="K23" s="118"/>
      <c r="L23" s="150">
        <v>195</v>
      </c>
      <c r="M23" s="139">
        <f t="shared" si="2"/>
        <v>0.56961678436954066</v>
      </c>
    </row>
    <row r="24" spans="1:14" ht="17" thickBot="1">
      <c r="A24" s="140">
        <v>46127</v>
      </c>
      <c r="B24" s="140" t="str">
        <f t="shared" si="0"/>
        <v>Abr/26</v>
      </c>
      <c r="C24" s="247" t="s">
        <v>153</v>
      </c>
      <c r="D24" s="142" t="s">
        <v>161</v>
      </c>
      <c r="E24" s="130">
        <v>1</v>
      </c>
      <c r="F24" s="142" t="s">
        <v>113</v>
      </c>
      <c r="G24" s="143" t="s">
        <v>111</v>
      </c>
      <c r="H24" s="108" cm="1">
        <f t="array" ref="H24">IF($A24="","",_xlfn.XLOOKUP($B24 &amp; $D24 &amp; $F24 &amp; $G24, Produtos!$B:$B &amp; Produtos!$C:$C &amp; Produtos!$D:$D &amp; Produtos!$E:$E, Produtos!$P:$P, ""))</f>
        <v>38.723933174999999</v>
      </c>
      <c r="I24" s="177">
        <f t="shared" si="1"/>
        <v>69.703079715000001</v>
      </c>
      <c r="J24" s="147">
        <f t="shared" si="3"/>
        <v>69.703079715000001</v>
      </c>
      <c r="K24" s="248"/>
      <c r="L24" s="150"/>
      <c r="M24" s="145" t="str">
        <f t="shared" si="2"/>
        <v/>
      </c>
      <c r="N24" s="249" t="s">
        <v>162</v>
      </c>
    </row>
    <row r="25" spans="1:14">
      <c r="A25" s="140">
        <v>46127</v>
      </c>
      <c r="B25" s="140" t="str">
        <f t="shared" ref="B25:B30" si="4">IF($A25="","",PROPER(TEXT($A25,"mmm")) &amp; "/" &amp; TEXT($A25,"aa"))</f>
        <v>Abr/26</v>
      </c>
      <c r="C25" s="247" t="s">
        <v>153</v>
      </c>
      <c r="D25" s="142" t="s">
        <v>163</v>
      </c>
      <c r="E25" s="250">
        <v>1</v>
      </c>
      <c r="F25" s="142" t="s">
        <v>113</v>
      </c>
      <c r="G25" s="143" t="s">
        <v>111</v>
      </c>
      <c r="H25" s="251" cm="1">
        <f t="array" ref="H25">IF($A25="","",_xlfn.XLOOKUP($B25 &amp; $D25 &amp; $F25 &amp; $G25, Produtos!$B:$B &amp; Produtos!$C:$C &amp; Produtos!$D:$D &amp; Produtos!$E:$E, Produtos!$P:$P, ""))</f>
        <v>34.429701441666666</v>
      </c>
      <c r="I25" s="178">
        <f t="shared" ref="I25:I30" si="5">IFERROR($H25*I$5,"")</f>
        <v>61.973462595000001</v>
      </c>
      <c r="J25" s="147">
        <f t="shared" ref="J25:J30" si="6">IFERROR($E25*$I25,"")</f>
        <v>61.973462595000001</v>
      </c>
      <c r="K25" s="144"/>
      <c r="L25" s="252">
        <v>80</v>
      </c>
      <c r="M25" s="145">
        <f t="shared" ref="M25:M30" si="7">IFERROR(IF(OR($L25="",$L25=0),"",($L25-$J25)/$J25),"")</f>
        <v>0.29087510444275827</v>
      </c>
      <c r="N25" s="256" t="s">
        <v>167</v>
      </c>
    </row>
    <row r="26" spans="1:14">
      <c r="A26" s="140">
        <v>46128</v>
      </c>
      <c r="B26" s="140" t="str">
        <f t="shared" si="4"/>
        <v>Abr/26</v>
      </c>
      <c r="C26" s="253" t="s">
        <v>137</v>
      </c>
      <c r="D26" s="142" t="s">
        <v>164</v>
      </c>
      <c r="E26" s="250">
        <v>1</v>
      </c>
      <c r="F26" s="142" t="s">
        <v>113</v>
      </c>
      <c r="G26" s="143" t="s">
        <v>111</v>
      </c>
      <c r="H26" s="251" cm="1">
        <f t="array" ref="H26">IF($A26="","",_xlfn.XLOOKUP($B26 &amp; $D26 &amp; $F26 &amp; $G26, Produtos!$B:$B &amp; Produtos!$C:$C &amp; Produtos!$D:$D &amp; Produtos!$E:$E, Produtos!$P:$P, ""))</f>
        <v>11.698905533333333</v>
      </c>
      <c r="I26" s="178">
        <f t="shared" si="5"/>
        <v>21.058029959999999</v>
      </c>
      <c r="J26" s="147">
        <f t="shared" si="6"/>
        <v>21.058029959999999</v>
      </c>
      <c r="K26" s="144"/>
      <c r="L26" s="252">
        <v>65</v>
      </c>
      <c r="M26" s="145">
        <f t="shared" si="7"/>
        <v>2.0867084966384959</v>
      </c>
    </row>
    <row r="27" spans="1:14">
      <c r="A27" s="140">
        <v>46129</v>
      </c>
      <c r="B27" s="140" t="str">
        <f t="shared" si="4"/>
        <v>Abr/26</v>
      </c>
      <c r="C27" s="255" t="s">
        <v>165</v>
      </c>
      <c r="D27" s="142" t="s">
        <v>159</v>
      </c>
      <c r="E27" s="250">
        <v>1</v>
      </c>
      <c r="F27" s="142" t="s">
        <v>113</v>
      </c>
      <c r="G27" s="143" t="s">
        <v>111</v>
      </c>
      <c r="H27" s="251" cm="1">
        <f t="array" ref="H27">IF($A27="","",_xlfn.XLOOKUP($B27 &amp; $D27 &amp; $F27 &amp; $G27, Produtos!$B:$B &amp; Produtos!$C:$C &amp; Produtos!$D:$D &amp; Produtos!$E:$E, Produtos!$P:$P, ""))</f>
        <v>69.018969733333336</v>
      </c>
      <c r="I27" s="178">
        <f t="shared" si="5"/>
        <v>124.23414552000001</v>
      </c>
      <c r="J27" s="147">
        <f t="shared" si="6"/>
        <v>124.23414552000001</v>
      </c>
      <c r="K27" s="144"/>
      <c r="L27" s="252">
        <v>195</v>
      </c>
      <c r="M27" s="145">
        <f t="shared" si="7"/>
        <v>0.56961678436954066</v>
      </c>
    </row>
    <row r="28" spans="1:14" ht="16" customHeight="1">
      <c r="A28" s="140">
        <v>46129</v>
      </c>
      <c r="B28" s="137" t="str">
        <f t="shared" si="4"/>
        <v>Abr/26</v>
      </c>
      <c r="C28" s="257" t="s">
        <v>166</v>
      </c>
      <c r="D28" s="116" t="s">
        <v>163</v>
      </c>
      <c r="E28" s="130">
        <v>1</v>
      </c>
      <c r="F28" s="116" t="s">
        <v>113</v>
      </c>
      <c r="G28" s="114" t="s">
        <v>111</v>
      </c>
      <c r="H28" s="108" cm="1">
        <f t="array" ref="H28">IF($A28="","",_xlfn.XLOOKUP($B28 &amp; $D28 &amp; $F28 &amp; $G28, Produtos!$B:$B &amp; Produtos!$C:$C &amp; Produtos!$D:$D &amp; Produtos!$E:$E, Produtos!$P:$P, ""))</f>
        <v>34.429701441666666</v>
      </c>
      <c r="I28" s="177">
        <f t="shared" si="5"/>
        <v>61.973462595000001</v>
      </c>
      <c r="J28" s="146">
        <f t="shared" si="6"/>
        <v>61.973462595000001</v>
      </c>
      <c r="K28" s="118"/>
      <c r="L28" s="215">
        <v>80</v>
      </c>
      <c r="M28" s="139">
        <f t="shared" si="7"/>
        <v>0.29087510444275827</v>
      </c>
      <c r="N28" s="256" t="s">
        <v>167</v>
      </c>
    </row>
    <row r="29" spans="1:14">
      <c r="A29" s="140">
        <v>46130</v>
      </c>
      <c r="B29" s="137" t="str">
        <f t="shared" si="4"/>
        <v>Abr/26</v>
      </c>
      <c r="C29" s="259" t="s">
        <v>169</v>
      </c>
      <c r="D29" s="116" t="s">
        <v>168</v>
      </c>
      <c r="E29" s="130">
        <v>1</v>
      </c>
      <c r="F29" s="116" t="s">
        <v>113</v>
      </c>
      <c r="G29" s="114" t="s">
        <v>111</v>
      </c>
      <c r="H29" s="108" cm="1">
        <f t="array" ref="H29">IF($A29="","",_xlfn.XLOOKUP($B29 &amp; $D29 &amp; $F29 &amp; $G29, Produtos!$B:$B &amp; Produtos!$C:$C &amp; Produtos!$D:$D &amp; Produtos!$E:$E, Produtos!$P:$P, ""))</f>
        <v>6.5603369000000002</v>
      </c>
      <c r="I29" s="177">
        <f t="shared" si="5"/>
        <v>11.80860642</v>
      </c>
      <c r="J29" s="146">
        <f t="shared" si="6"/>
        <v>11.80860642</v>
      </c>
      <c r="K29" s="118"/>
      <c r="L29" s="215">
        <v>20</v>
      </c>
      <c r="M29" s="139">
        <f t="shared" si="7"/>
        <v>0.69367995584359565</v>
      </c>
    </row>
    <row r="30" spans="1:14">
      <c r="A30" s="140">
        <v>46130</v>
      </c>
      <c r="B30" s="137" t="str">
        <f t="shared" si="4"/>
        <v>Abr/26</v>
      </c>
      <c r="C30" s="259" t="s">
        <v>169</v>
      </c>
      <c r="D30" s="116" t="s">
        <v>170</v>
      </c>
      <c r="E30" s="130">
        <v>1</v>
      </c>
      <c r="F30" s="116" t="s">
        <v>113</v>
      </c>
      <c r="G30" s="114" t="s">
        <v>111</v>
      </c>
      <c r="H30" s="108" t="str" cm="1">
        <f t="array" ref="H30">IF($A30="","",_xlfn.XLOOKUP($B30 &amp; $D30 &amp; $F30 &amp; $G30, Produtos!$B:$B &amp; Produtos!$C:$C &amp; Produtos!$D:$D &amp; Produtos!$E:$E, Produtos!$P:$P, ""))</f>
        <v/>
      </c>
      <c r="I30" s="177" t="str">
        <f t="shared" si="5"/>
        <v/>
      </c>
      <c r="J30" s="146" t="str">
        <f t="shared" si="6"/>
        <v/>
      </c>
      <c r="K30" s="118"/>
      <c r="L30" s="215">
        <v>115</v>
      </c>
      <c r="M30" s="139" t="str">
        <f t="shared" si="7"/>
        <v/>
      </c>
      <c r="N30" s="260" t="s">
        <v>171</v>
      </c>
    </row>
    <row r="31" spans="1:14">
      <c r="A31" s="140">
        <v>46133</v>
      </c>
      <c r="B31" s="137" t="str">
        <f>IF($A31="","",PROPER(TEXT($A31,"mmm")) &amp; "/" &amp; TEXT($A31,"aa"))</f>
        <v>Abr/26</v>
      </c>
      <c r="C31" s="262" t="s">
        <v>174</v>
      </c>
      <c r="D31" s="116" t="s">
        <v>173</v>
      </c>
      <c r="E31" s="130">
        <v>1</v>
      </c>
      <c r="F31" s="116" t="s">
        <v>113</v>
      </c>
      <c r="G31" s="114" t="s">
        <v>111</v>
      </c>
      <c r="H31" s="108" cm="1">
        <f t="array" ref="H31">IF($A31="","",_xlfn.XLOOKUP($B31 &amp; $D31 &amp; $F31 &amp; $G31, Produtos!$B:$B &amp; Produtos!$C:$C &amp; Produtos!$D:$D &amp; Produtos!$E:$E, Produtos!$P:$P, ""))</f>
        <v>59.850074900000003</v>
      </c>
      <c r="I31" s="177">
        <f>IFERROR($H31*I$5,"")</f>
        <v>107.73013482</v>
      </c>
      <c r="J31" s="146">
        <f>IFERROR($E31*$I31,"")</f>
        <v>107.73013482</v>
      </c>
      <c r="K31" s="118"/>
      <c r="L31" s="215">
        <v>200</v>
      </c>
      <c r="M31" s="139">
        <f>IFERROR(IF(OR($L31="",$L31=0),"",($L31-$J31)/$J31),"")</f>
        <v>0.85649076123564061</v>
      </c>
    </row>
    <row r="32" spans="1:14">
      <c r="A32" s="140">
        <v>46133</v>
      </c>
      <c r="B32" s="137" t="str">
        <f>IF($A32="","",PROPER(TEXT($A32,"mmm")) &amp; "/" &amp; TEXT($A32,"aa"))</f>
        <v>Abr/26</v>
      </c>
      <c r="C32" s="263" t="s">
        <v>137</v>
      </c>
      <c r="D32" s="116" t="s">
        <v>175</v>
      </c>
      <c r="E32" s="130">
        <v>1</v>
      </c>
      <c r="F32" s="116" t="s">
        <v>113</v>
      </c>
      <c r="G32" s="114" t="s">
        <v>111</v>
      </c>
      <c r="H32" s="108" cm="1">
        <f t="array" ref="H32">IF($A32="","",_xlfn.XLOOKUP($B32 &amp; $D32 &amp; $F32 &amp; $G32, Produtos!$B:$B &amp; Produtos!$C:$C &amp; Produtos!$D:$D &amp; Produtos!$E:$E, Produtos!$P:$P, ""))</f>
        <v>15.756689850000001</v>
      </c>
      <c r="I32" s="177">
        <f>IFERROR($H32*I$5,"")</f>
        <v>28.362041730000001</v>
      </c>
      <c r="J32" s="146">
        <f>IFERROR($E32*$I32,"")</f>
        <v>28.362041730000001</v>
      </c>
      <c r="K32" s="118"/>
      <c r="L32" s="215">
        <v>35</v>
      </c>
      <c r="M32" s="139">
        <f>IFERROR(IF(OR($L32="",$L32=0),"",($L32-$J32)/$J32),"")</f>
        <v>0.23404373821856014</v>
      </c>
    </row>
    <row r="33" spans="1:14">
      <c r="A33" s="140">
        <v>46133</v>
      </c>
      <c r="B33" s="137" t="str">
        <f t="shared" ref="B33:B34" si="8">IF($A33="","",PROPER(TEXT($A33,"mmm")) &amp; "/" &amp; TEXT($A33,"aa"))</f>
        <v>Abr/26</v>
      </c>
      <c r="C33" s="263" t="s">
        <v>137</v>
      </c>
      <c r="D33" s="116" t="s">
        <v>176</v>
      </c>
      <c r="E33" s="130">
        <v>1</v>
      </c>
      <c r="F33" s="116" t="s">
        <v>113</v>
      </c>
      <c r="G33" s="114" t="s">
        <v>111</v>
      </c>
      <c r="H33" s="251" cm="1">
        <f t="array" ref="H33">IF($A33="","",_xlfn.XLOOKUP($B33 &amp; $D33 &amp; $F33 &amp; $G33, Produtos!$B:$B &amp; Produtos!$C:$C &amp; Produtos!$D:$D &amp; Produtos!$E:$E, Produtos!$P:$P, ""))</f>
        <v>14.177786991666666</v>
      </c>
      <c r="I33" s="177">
        <f t="shared" ref="I33:I34" si="9">IFERROR($H33*I$5,"")</f>
        <v>25.520016585</v>
      </c>
      <c r="J33" s="146">
        <f t="shared" ref="J33:J34" si="10">IFERROR($E33*$I33,"")</f>
        <v>25.520016585</v>
      </c>
      <c r="K33" s="118"/>
      <c r="L33" s="215">
        <v>32.5</v>
      </c>
      <c r="M33" s="139">
        <f t="shared" ref="M33:M34" si="11">IFERROR(IF(OR($L33="",$L33=0),"",($L33-$J33)/$J33),"")</f>
        <v>0.27351014415494745</v>
      </c>
      <c r="N33" s="264" t="s">
        <v>178</v>
      </c>
    </row>
    <row r="34" spans="1:14">
      <c r="A34" s="140">
        <v>46133</v>
      </c>
      <c r="B34" s="137" t="str">
        <f t="shared" si="8"/>
        <v>Abr/26</v>
      </c>
      <c r="C34" s="263" t="s">
        <v>137</v>
      </c>
      <c r="D34" s="116" t="s">
        <v>177</v>
      </c>
      <c r="E34" s="130">
        <v>1</v>
      </c>
      <c r="F34" s="116" t="s">
        <v>113</v>
      </c>
      <c r="G34" s="114" t="s">
        <v>111</v>
      </c>
      <c r="H34" s="108" cm="1">
        <f t="array" ref="H34">IF($A34="","",_xlfn.XLOOKUP($B34 &amp; $D34 &amp; $F34 &amp; $G34, Produtos!$B:$B &amp; Produtos!$C:$C &amp; Produtos!$D:$D &amp; Produtos!$E:$E, Produtos!$P:$P, ""))</f>
        <v>17.7316845</v>
      </c>
      <c r="I34" s="177">
        <f t="shared" si="9"/>
        <v>31.9170321</v>
      </c>
      <c r="J34" s="146">
        <f t="shared" si="10"/>
        <v>31.9170321</v>
      </c>
      <c r="K34" s="118"/>
      <c r="L34" s="215">
        <v>37.5</v>
      </c>
      <c r="M34" s="139">
        <f t="shared" si="11"/>
        <v>0.17492127346013478</v>
      </c>
      <c r="N34" s="264" t="s">
        <v>179</v>
      </c>
    </row>
    <row r="35" spans="1:14">
      <c r="A35" s="140">
        <v>46133</v>
      </c>
      <c r="B35" s="137" t="str">
        <f t="shared" ref="B35:B40" si="12">IF($A35="","",PROPER(TEXT($A35,"mmm")) &amp; "/" &amp; TEXT($A35,"aa"))</f>
        <v>Abr/26</v>
      </c>
      <c r="C35" s="263" t="s">
        <v>150</v>
      </c>
      <c r="D35" s="116" t="s">
        <v>180</v>
      </c>
      <c r="E35" s="130">
        <v>1</v>
      </c>
      <c r="F35" s="116" t="s">
        <v>113</v>
      </c>
      <c r="G35" s="114" t="s">
        <v>111</v>
      </c>
      <c r="H35" s="251" cm="1">
        <f t="array" ref="H35">IF($A35="","",_xlfn.XLOOKUP($B35 &amp; $D35 &amp; $F35 &amp; $G35, Produtos!$B:$B &amp; Produtos!$C:$C &amp; Produtos!$D:$D &amp; Produtos!$E:$E, Produtos!$P:$P, ""))</f>
        <v>13.287323356666665</v>
      </c>
      <c r="I35" s="177">
        <f t="shared" ref="I35:I40" si="13">IFERROR($H35*I$5,"")</f>
        <v>23.917182041999997</v>
      </c>
      <c r="J35" s="146">
        <f t="shared" ref="J35:J40" si="14">IFERROR($E35*$I35,"")</f>
        <v>23.917182041999997</v>
      </c>
      <c r="K35" s="118"/>
      <c r="L35" s="215">
        <v>50</v>
      </c>
      <c r="M35" s="139">
        <f t="shared" ref="M35:M40" si="15">IFERROR(IF(OR($L35="",$L35=0),"",($L35-$J35)/$J35),"")</f>
        <v>1.0905472857210778</v>
      </c>
    </row>
    <row r="36" spans="1:14">
      <c r="A36" s="140">
        <v>46133</v>
      </c>
      <c r="B36" s="137" t="str">
        <f t="shared" si="12"/>
        <v>Abr/26</v>
      </c>
      <c r="C36" s="263" t="s">
        <v>150</v>
      </c>
      <c r="D36" s="116" t="s">
        <v>181</v>
      </c>
      <c r="E36" s="130">
        <v>1</v>
      </c>
      <c r="F36" s="116" t="s">
        <v>113</v>
      </c>
      <c r="G36" s="114" t="s">
        <v>111</v>
      </c>
      <c r="H36" s="251" cm="1">
        <f t="array" ref="H36">IF($A36="","",_xlfn.XLOOKUP($B36 &amp; $D36 &amp; $F36 &amp; $G36, Produtos!$B:$B &amp; Produtos!$C:$C &amp; Produtos!$D:$D &amp; Produtos!$E:$E, Produtos!$P:$P, ""))</f>
        <v>11.607055441666667</v>
      </c>
      <c r="I36" s="177">
        <f t="shared" si="13"/>
        <v>20.892699795000002</v>
      </c>
      <c r="J36" s="146">
        <f t="shared" si="14"/>
        <v>20.892699795000002</v>
      </c>
      <c r="K36" s="118"/>
      <c r="L36" s="215">
        <v>35</v>
      </c>
      <c r="M36" s="139">
        <f t="shared" si="15"/>
        <v>0.67522629164355907</v>
      </c>
    </row>
    <row r="37" spans="1:14">
      <c r="A37" s="140">
        <v>46133</v>
      </c>
      <c r="B37" s="137" t="str">
        <f t="shared" si="12"/>
        <v>Abr/26</v>
      </c>
      <c r="C37" s="263" t="s">
        <v>150</v>
      </c>
      <c r="D37" s="116" t="s">
        <v>182</v>
      </c>
      <c r="E37" s="130">
        <v>1</v>
      </c>
      <c r="F37" s="116" t="s">
        <v>113</v>
      </c>
      <c r="G37" s="114" t="s">
        <v>111</v>
      </c>
      <c r="H37" s="251" cm="1">
        <f t="array" ref="H37">IF($A37="","",_xlfn.XLOOKUP($B37 &amp; $D37 &amp; $F37 &amp; $G37, Produtos!$B:$B &amp; Produtos!$C:$C &amp; Produtos!$D:$D &amp; Produtos!$E:$E, Produtos!$P:$P, ""))</f>
        <v>10.687965423333335</v>
      </c>
      <c r="I37" s="177">
        <f t="shared" si="13"/>
        <v>19.238337762000004</v>
      </c>
      <c r="J37" s="146">
        <f t="shared" si="14"/>
        <v>19.238337762000004</v>
      </c>
      <c r="K37" s="118"/>
      <c r="L37" s="215">
        <v>40</v>
      </c>
      <c r="M37" s="139">
        <f t="shared" si="15"/>
        <v>1.079181709711371</v>
      </c>
    </row>
    <row r="38" spans="1:14">
      <c r="A38" s="140">
        <v>46133</v>
      </c>
      <c r="B38" s="137" t="str">
        <f t="shared" si="12"/>
        <v>Abr/26</v>
      </c>
      <c r="C38" s="263" t="s">
        <v>150</v>
      </c>
      <c r="D38" s="116" t="s">
        <v>184</v>
      </c>
      <c r="E38" s="130">
        <v>1</v>
      </c>
      <c r="F38" s="116" t="s">
        <v>113</v>
      </c>
      <c r="G38" s="114" t="s">
        <v>111</v>
      </c>
      <c r="H38" s="251" cm="1">
        <f t="array" ref="H38">IF($A38="","",_xlfn.XLOOKUP($B38 &amp; $D38 &amp; $F38 &amp; $G38, Produtos!$B:$B &amp; Produtos!$C:$C &amp; Produtos!$D:$D &amp; Produtos!$E:$E, Produtos!$P:$P, ""))</f>
        <v>1.4618406335833332</v>
      </c>
      <c r="I38" s="177">
        <f t="shared" si="13"/>
        <v>2.6313131404499996</v>
      </c>
      <c r="J38" s="146">
        <f t="shared" si="14"/>
        <v>2.6313131404499996</v>
      </c>
      <c r="K38" s="118"/>
      <c r="L38" s="215">
        <v>10</v>
      </c>
      <c r="M38" s="139">
        <f t="shared" si="15"/>
        <v>2.8003838639630052</v>
      </c>
    </row>
    <row r="39" spans="1:14">
      <c r="A39" s="140">
        <v>46133</v>
      </c>
      <c r="B39" s="137" t="str">
        <f t="shared" si="12"/>
        <v>Abr/26</v>
      </c>
      <c r="C39" s="263" t="s">
        <v>150</v>
      </c>
      <c r="D39" s="116" t="s">
        <v>183</v>
      </c>
      <c r="E39" s="130">
        <v>1</v>
      </c>
      <c r="F39" s="116" t="s">
        <v>113</v>
      </c>
      <c r="G39" s="114" t="s">
        <v>111</v>
      </c>
      <c r="H39" s="251" cm="1">
        <f t="array" ref="H39">IF($A39="","",_xlfn.XLOOKUP($B39 &amp; $D39 &amp; $F39 &amp; $G39, Produtos!$B:$B &amp; Produtos!$C:$C &amp; Produtos!$D:$D &amp; Produtos!$E:$E, Produtos!$P:$P, ""))</f>
        <v>1.2521370210277778</v>
      </c>
      <c r="I39" s="177">
        <f t="shared" si="13"/>
        <v>2.2538466378500002</v>
      </c>
      <c r="J39" s="146">
        <f t="shared" si="14"/>
        <v>2.2538466378500002</v>
      </c>
      <c r="K39" s="118"/>
      <c r="L39" s="215">
        <v>10</v>
      </c>
      <c r="M39" s="139">
        <f t="shared" si="15"/>
        <v>3.436859115462819</v>
      </c>
    </row>
    <row r="40" spans="1:14">
      <c r="A40" s="140">
        <v>46133</v>
      </c>
      <c r="B40" s="137" t="str">
        <f t="shared" si="12"/>
        <v>Abr/26</v>
      </c>
      <c r="C40" s="263" t="s">
        <v>150</v>
      </c>
      <c r="D40" s="116" t="s">
        <v>185</v>
      </c>
      <c r="E40" s="130">
        <v>1</v>
      </c>
      <c r="F40" s="116" t="s">
        <v>113</v>
      </c>
      <c r="G40" s="114" t="s">
        <v>111</v>
      </c>
      <c r="H40" s="108" cm="1">
        <f t="array" ref="H40">IF($A40="","",_xlfn.XLOOKUP($B40 &amp; $D40 &amp; $F40 &amp; $G40, Produtos!$B:$B &amp; Produtos!$C:$C &amp; Produtos!$D:$D &amp; Produtos!$E:$E, Produtos!$P:$P, ""))</f>
        <v>3.1308263833333334</v>
      </c>
      <c r="I40" s="177">
        <f t="shared" si="13"/>
        <v>5.63548749</v>
      </c>
      <c r="J40" s="146">
        <f t="shared" si="14"/>
        <v>5.63548749</v>
      </c>
      <c r="K40" s="118"/>
      <c r="L40" s="215">
        <v>35</v>
      </c>
      <c r="M40" s="139">
        <f t="shared" si="15"/>
        <v>5.2106428347337168</v>
      </c>
    </row>
    <row r="41" spans="1:14">
      <c r="A41" s="140">
        <v>46134</v>
      </c>
      <c r="B41" s="137" t="str">
        <f t="shared" ref="B41:B48" si="16">IF($A41="","",PROPER(TEXT($A41,"mmm")) &amp; "/" &amp; TEXT($A41,"aa"))</f>
        <v>Abr/26</v>
      </c>
      <c r="C41" s="265" t="s">
        <v>187</v>
      </c>
      <c r="D41" s="116" t="s">
        <v>186</v>
      </c>
      <c r="E41" s="130">
        <v>1</v>
      </c>
      <c r="F41" s="116" t="s">
        <v>113</v>
      </c>
      <c r="G41" s="114" t="s">
        <v>111</v>
      </c>
      <c r="H41" s="251" cm="1">
        <f t="array" ref="H41">IF($A41="","",_xlfn.XLOOKUP($B41 &amp; $D41 &amp; $F41 &amp; $G41, Produtos!$B:$B &amp; Produtos!$C:$C &amp; Produtos!$D:$D &amp; Produtos!$E:$E, Produtos!$P:$P, ""))</f>
        <v>2.9872263833333332</v>
      </c>
      <c r="I41" s="177">
        <f t="shared" ref="I41:I48" si="17">IFERROR($H41*I$5,"")</f>
        <v>5.3770074899999996</v>
      </c>
      <c r="J41" s="146">
        <f t="shared" ref="J41:J48" si="18">IFERROR($E41*$I41,"")</f>
        <v>5.3770074899999996</v>
      </c>
      <c r="K41" s="118"/>
      <c r="L41" s="215">
        <v>15</v>
      </c>
      <c r="M41" s="139">
        <f t="shared" ref="M41:M48" si="19">IFERROR(IF(OR($L41="",$L41=0),"",($L41-$J41)/$J41),"")</f>
        <v>1.7896557756143279</v>
      </c>
    </row>
    <row r="42" spans="1:14">
      <c r="A42" s="140">
        <v>46135</v>
      </c>
      <c r="B42" s="137" t="str">
        <f t="shared" si="16"/>
        <v>Abr/26</v>
      </c>
      <c r="C42" s="266" t="s">
        <v>189</v>
      </c>
      <c r="D42" s="116" t="s">
        <v>188</v>
      </c>
      <c r="E42" s="130">
        <v>1</v>
      </c>
      <c r="F42" s="116" t="s">
        <v>113</v>
      </c>
      <c r="G42" s="114" t="s">
        <v>111</v>
      </c>
      <c r="H42" s="251" cm="1">
        <f t="array" ref="H42">IF($A42="","",_xlfn.XLOOKUP($B42 &amp; $D42 &amp; $F42 &amp; $G42, Produtos!$B:$B &amp; Produtos!$C:$C &amp; Produtos!$D:$D &amp; Produtos!$E:$E, Produtos!$P:$P, ""))</f>
        <v>122.20249362499999</v>
      </c>
      <c r="I42" s="177">
        <f t="shared" si="17"/>
        <v>219.96448852499998</v>
      </c>
      <c r="J42" s="146">
        <f t="shared" si="18"/>
        <v>219.96448852499998</v>
      </c>
      <c r="K42" s="118"/>
      <c r="L42" s="215">
        <v>250</v>
      </c>
      <c r="M42" s="139">
        <f t="shared" si="19"/>
        <v>0.13654709301672732</v>
      </c>
    </row>
    <row r="43" spans="1:14">
      <c r="A43" s="140">
        <v>46135</v>
      </c>
      <c r="B43" s="137" t="str">
        <f t="shared" si="16"/>
        <v>Abr/26</v>
      </c>
      <c r="C43" s="266" t="s">
        <v>189</v>
      </c>
      <c r="D43" s="116" t="s">
        <v>190</v>
      </c>
      <c r="E43" s="130">
        <v>1</v>
      </c>
      <c r="F43" s="116" t="s">
        <v>113</v>
      </c>
      <c r="G43" s="114" t="s">
        <v>111</v>
      </c>
      <c r="H43" s="251" cm="1">
        <f t="array" ref="H43">IF($A43="","",_xlfn.XLOOKUP($B43 &amp; $D43 &amp; $F43 &amp; $G43, Produtos!$B:$B &amp; Produtos!$C:$C &amp; Produtos!$D:$D &amp; Produtos!$E:$E, Produtos!$P:$P, ""))</f>
        <v>19.765362931666669</v>
      </c>
      <c r="I43" s="177">
        <f t="shared" si="17"/>
        <v>35.577653277000003</v>
      </c>
      <c r="J43" s="146">
        <f t="shared" si="18"/>
        <v>35.577653277000003</v>
      </c>
      <c r="K43" s="118"/>
      <c r="L43" s="215">
        <v>95</v>
      </c>
      <c r="M43" s="139">
        <f t="shared" si="19"/>
        <v>1.6702154653189267</v>
      </c>
    </row>
    <row r="44" spans="1:14">
      <c r="A44" s="140"/>
      <c r="B44" s="137" t="str">
        <f t="shared" si="16"/>
        <v/>
      </c>
      <c r="C44" s="79"/>
      <c r="D44" s="116"/>
      <c r="E44" s="130"/>
      <c r="F44" s="116"/>
      <c r="G44" s="114"/>
      <c r="H44" s="251" t="str" cm="1">
        <f t="array" ref="H44">IF($A44="","",_xlfn.XLOOKUP($B44 &amp; $D44 &amp; $F44 &amp; $G44, Produtos!$B:$B &amp; Produtos!$C:$C &amp; Produtos!$D:$D &amp; Produtos!$E:$E, Produtos!$P:$P, ""))</f>
        <v/>
      </c>
      <c r="I44" s="177" t="str">
        <f t="shared" si="17"/>
        <v/>
      </c>
      <c r="J44" s="146" t="str">
        <f t="shared" si="18"/>
        <v/>
      </c>
      <c r="K44" s="118"/>
      <c r="L44" s="215"/>
      <c r="M44" s="139" t="str">
        <f t="shared" si="19"/>
        <v/>
      </c>
    </row>
    <row r="45" spans="1:14">
      <c r="A45" s="140"/>
      <c r="B45" s="137" t="str">
        <f t="shared" si="16"/>
        <v/>
      </c>
      <c r="C45" s="79"/>
      <c r="D45" s="116"/>
      <c r="E45" s="130"/>
      <c r="F45" s="116"/>
      <c r="G45" s="114"/>
      <c r="H45" s="251" t="str" cm="1">
        <f t="array" ref="H45">IF($A45="","",_xlfn.XLOOKUP($B45 &amp; $D45 &amp; $F45 &amp; $G45, Produtos!$B:$B &amp; Produtos!$C:$C &amp; Produtos!$D:$D &amp; Produtos!$E:$E, Produtos!$P:$P, ""))</f>
        <v/>
      </c>
      <c r="I45" s="177" t="str">
        <f t="shared" si="17"/>
        <v/>
      </c>
      <c r="J45" s="146" t="str">
        <f t="shared" si="18"/>
        <v/>
      </c>
      <c r="K45" s="118"/>
      <c r="L45" s="215"/>
      <c r="M45" s="139" t="str">
        <f t="shared" si="19"/>
        <v/>
      </c>
    </row>
    <row r="46" spans="1:14">
      <c r="A46" s="140"/>
      <c r="B46" s="137" t="str">
        <f t="shared" si="16"/>
        <v/>
      </c>
      <c r="C46" s="79"/>
      <c r="D46" s="116"/>
      <c r="E46" s="130"/>
      <c r="F46" s="116"/>
      <c r="G46" s="114"/>
      <c r="H46" s="251" t="str" cm="1">
        <f t="array" ref="H46">IF($A46="","",_xlfn.XLOOKUP($B46 &amp; $D46 &amp; $F46 &amp; $G46, Produtos!$B:$B &amp; Produtos!$C:$C &amp; Produtos!$D:$D &amp; Produtos!$E:$E, Produtos!$P:$P, ""))</f>
        <v/>
      </c>
      <c r="I46" s="177" t="str">
        <f t="shared" si="17"/>
        <v/>
      </c>
      <c r="J46" s="146" t="str">
        <f t="shared" si="18"/>
        <v/>
      </c>
      <c r="K46" s="118"/>
      <c r="L46" s="215"/>
      <c r="M46" s="139" t="str">
        <f t="shared" si="19"/>
        <v/>
      </c>
    </row>
    <row r="47" spans="1:14">
      <c r="A47" s="140"/>
      <c r="B47" s="137" t="str">
        <f t="shared" si="16"/>
        <v/>
      </c>
      <c r="C47" s="79"/>
      <c r="D47" s="116"/>
      <c r="E47" s="130"/>
      <c r="F47" s="116"/>
      <c r="G47" s="114"/>
      <c r="H47" s="251" t="str" cm="1">
        <f t="array" ref="H47">IF($A47="","",_xlfn.XLOOKUP($B47 &amp; $D47 &amp; $F47 &amp; $G47, Produtos!$B:$B &amp; Produtos!$C:$C &amp; Produtos!$D:$D &amp; Produtos!$E:$E, Produtos!$P:$P, ""))</f>
        <v/>
      </c>
      <c r="I47" s="177" t="str">
        <f t="shared" si="17"/>
        <v/>
      </c>
      <c r="J47" s="146" t="str">
        <f t="shared" si="18"/>
        <v/>
      </c>
      <c r="K47" s="118"/>
      <c r="L47" s="215"/>
      <c r="M47" s="139" t="str">
        <f t="shared" si="19"/>
        <v/>
      </c>
    </row>
    <row r="48" spans="1:14">
      <c r="A48" s="140"/>
      <c r="B48" s="137" t="str">
        <f t="shared" si="16"/>
        <v/>
      </c>
      <c r="C48" s="79"/>
      <c r="D48" s="116"/>
      <c r="E48" s="130"/>
      <c r="F48" s="116"/>
      <c r="G48" s="114"/>
      <c r="H48" s="251" t="str" cm="1">
        <f t="array" ref="H48">IF($A48="","",_xlfn.XLOOKUP($B48 &amp; $D48 &amp; $F48 &amp; $G48, Produtos!$B:$B &amp; Produtos!$C:$C &amp; Produtos!$D:$D &amp; Produtos!$E:$E, Produtos!$P:$P, ""))</f>
        <v/>
      </c>
      <c r="I48" s="177" t="str">
        <f t="shared" si="17"/>
        <v/>
      </c>
      <c r="J48" s="146" t="str">
        <f t="shared" si="18"/>
        <v/>
      </c>
      <c r="K48" s="118"/>
      <c r="L48" s="215"/>
      <c r="M48" s="139" t="str">
        <f t="shared" si="19"/>
        <v/>
      </c>
    </row>
    <row r="49" spans="1:12">
      <c r="A49" s="254"/>
      <c r="C49" s="256"/>
      <c r="G49" s="132"/>
      <c r="H49" s="132"/>
      <c r="J49" s="267"/>
      <c r="K49" s="267"/>
      <c r="L49" s="267"/>
    </row>
    <row r="50" spans="1:12">
      <c r="G50" s="132"/>
      <c r="H50" s="132"/>
      <c r="J50" s="267"/>
      <c r="K50" s="267"/>
      <c r="L50" s="267"/>
    </row>
    <row r="51" spans="1:12">
      <c r="G51" s="132"/>
      <c r="H51" s="132"/>
    </row>
    <row r="52" spans="1:12">
      <c r="G52" s="132"/>
      <c r="H52" s="132"/>
    </row>
    <row r="53" spans="1:12">
      <c r="G53" s="132"/>
      <c r="H53" s="132"/>
    </row>
    <row r="54" spans="1:12">
      <c r="G54" s="132"/>
      <c r="H54" s="132"/>
    </row>
    <row r="55" spans="1:12">
      <c r="G55" s="132"/>
      <c r="H55" s="132"/>
    </row>
    <row r="56" spans="1:12">
      <c r="G56" s="132"/>
      <c r="H56" s="132"/>
    </row>
    <row r="57" spans="1:12">
      <c r="G57" s="132"/>
      <c r="H57" s="132"/>
    </row>
  </sheetData>
  <mergeCells count="1">
    <mergeCell ref="J49:L50"/>
  </mergeCells>
  <conditionalFormatting sqref="L7:L48">
    <cfRule type="expression" dxfId="11" priority="1" stopIfTrue="1">
      <formula>$L7&lt;=$H7</formula>
    </cfRule>
    <cfRule type="expression" dxfId="10" priority="2" stopIfTrue="1">
      <formula>AND($L7&gt;$H7,$L7&lt;$J7)</formula>
    </cfRule>
    <cfRule type="expression" dxfId="9" priority="3" stopIfTrue="1">
      <formula>$L7&gt;=$J7</formula>
    </cfRule>
  </conditionalFormatting>
  <conditionalFormatting sqref="M7:M48">
    <cfRule type="expression" dxfId="8" priority="4" stopIfTrue="1">
      <formula>AND($M7&lt;&gt;"",$M7&lt;=0)</formula>
    </cfRule>
    <cfRule type="expression" dxfId="7" priority="5" stopIfTrue="1">
      <formula>AND($M7&gt;0,$M7&lt;(($J7-$H7)/$H7))</formula>
    </cfRule>
    <cfRule type="expression" dxfId="6" priority="6" stopIfTrue="1">
      <formula>$M7&gt;=(($J7-$H7)/$H7)</formula>
    </cfRule>
  </conditionalFormatting>
  <pageMargins left="0.11811023622047245" right="0.11811023622047245" top="0.39370078740157483" bottom="0.39370078740157483" header="0.31496062992125984" footer="0.31496062992125984"/>
  <pageSetup paperSize="9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609A05A-089D-4FD8-884B-E177A0FC9A6E}">
          <x14:formula1>
            <xm:f>Impressoras!$A$2:$A$7</xm:f>
          </x14:formula1>
          <xm:sqref>F7:F48</xm:sqref>
        </x14:dataValidation>
        <x14:dataValidation type="list" allowBlank="1" showInputMessage="1" showErrorMessage="1" xr:uid="{3404FD08-EED7-4011-B4D2-AE223DC3BD33}">
          <x14:formula1>
            <xm:f>Filamentos!$A$2:$A$21</xm:f>
          </x14:formula1>
          <xm:sqref>G7:G48</xm:sqref>
        </x14:dataValidation>
        <x14:dataValidation type="list" allowBlank="1" showInputMessage="1" showErrorMessage="1" xr:uid="{0E512E96-D9D5-3243-B3F6-C622D74D96D6}">
          <x14:formula1>
            <xm:f>Produtos!$C$7:$C$77</xm:f>
          </x14:formula1>
          <xm:sqref>D7:D49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AE9D-908F-4E4F-B151-12AC74F8AE7E}">
  <dimension ref="A1:N44"/>
  <sheetViews>
    <sheetView showGridLines="0" zoomScale="140" zoomScaleNormal="140" workbookViewId="0">
      <pane ySplit="6" topLeftCell="A7" activePane="bottomLeft" state="frozen"/>
      <selection pane="bottomLeft" activeCell="J16" sqref="J16"/>
    </sheetView>
  </sheetViews>
  <sheetFormatPr baseColWidth="10" defaultColWidth="10.6640625" defaultRowHeight="16"/>
  <cols>
    <col min="1" max="1" width="11.33203125" style="10" customWidth="1"/>
    <col min="2" max="2" width="9.1640625" style="10" customWidth="1"/>
    <col min="3" max="3" width="22.6640625" style="10" customWidth="1"/>
    <col min="4" max="4" width="28.33203125" style="10" bestFit="1" customWidth="1"/>
    <col min="5" max="5" width="11.33203125" style="10" customWidth="1"/>
    <col min="6" max="6" width="12.1640625" style="10" customWidth="1"/>
    <col min="7" max="7" width="23.33203125" style="10" bestFit="1" customWidth="1"/>
    <col min="8" max="8" width="11.1640625" style="10" customWidth="1"/>
    <col min="9" max="9" width="13.1640625" style="10" customWidth="1"/>
    <col min="10" max="10" width="12" style="10" customWidth="1"/>
    <col min="11" max="11" width="9.1640625" style="10" customWidth="1"/>
    <col min="12" max="12" width="11.83203125" style="10" customWidth="1"/>
    <col min="13" max="13" width="9.5" style="10" customWidth="1"/>
    <col min="14" max="16384" width="10.6640625" style="10"/>
  </cols>
  <sheetData>
    <row r="1" spans="1:14" ht="16" customHeight="1">
      <c r="A1" s="158"/>
      <c r="B1" s="159"/>
      <c r="C1" s="159"/>
      <c r="D1" s="160"/>
      <c r="E1" s="161"/>
      <c r="F1" s="162"/>
      <c r="G1" s="162"/>
      <c r="H1" s="162"/>
      <c r="I1" s="162"/>
      <c r="J1" s="162"/>
      <c r="K1" s="162"/>
      <c r="L1" s="163"/>
      <c r="M1" s="161"/>
    </row>
    <row r="2" spans="1:14" ht="20" customHeight="1">
      <c r="A2" s="164"/>
      <c r="B2" s="165"/>
      <c r="C2" s="166" t="s">
        <v>16</v>
      </c>
      <c r="D2" s="167"/>
      <c r="E2" s="167"/>
      <c r="F2" s="167"/>
      <c r="G2" s="167"/>
      <c r="H2" s="167"/>
      <c r="I2" s="167"/>
      <c r="J2" s="168"/>
      <c r="K2" s="169"/>
      <c r="L2" s="170"/>
      <c r="M2" s="161"/>
    </row>
    <row r="3" spans="1:14" ht="16" customHeight="1">
      <c r="A3" s="164"/>
      <c r="B3" s="165"/>
      <c r="C3" s="165"/>
      <c r="D3" s="171"/>
      <c r="E3" s="169"/>
      <c r="F3" s="169"/>
      <c r="G3" s="169"/>
      <c r="H3" s="169"/>
      <c r="I3" s="169"/>
      <c r="J3" s="169"/>
      <c r="K3" s="169"/>
      <c r="L3" s="170"/>
      <c r="M3" s="161"/>
    </row>
    <row r="4" spans="1:14" ht="17" customHeight="1" thickBot="1">
      <c r="A4" s="172"/>
      <c r="B4" s="173"/>
      <c r="C4" s="173"/>
      <c r="D4" s="174"/>
      <c r="E4" s="175"/>
      <c r="F4" s="175"/>
      <c r="G4" s="175"/>
      <c r="H4" s="175"/>
      <c r="I4" s="175"/>
      <c r="J4" s="175"/>
      <c r="K4" s="175"/>
      <c r="L4" s="176"/>
      <c r="M4" s="161"/>
    </row>
    <row r="5" spans="1:14" ht="17" thickBot="1">
      <c r="A5" s="109"/>
      <c r="B5" s="109"/>
      <c r="C5" s="109"/>
      <c r="D5" s="109"/>
      <c r="E5" s="109"/>
      <c r="F5" s="109"/>
      <c r="G5" s="110"/>
      <c r="H5" s="157" t="s">
        <v>1</v>
      </c>
      <c r="I5" s="156">
        <v>1.8</v>
      </c>
      <c r="J5" s="112"/>
      <c r="K5" s="111"/>
      <c r="L5" s="111"/>
      <c r="M5" s="111"/>
    </row>
    <row r="6" spans="1:14" s="105" customFormat="1" ht="35" thickBot="1">
      <c r="A6" s="135" t="s">
        <v>2</v>
      </c>
      <c r="B6" s="78" t="s">
        <v>3</v>
      </c>
      <c r="C6" s="133" t="s">
        <v>4</v>
      </c>
      <c r="D6" s="102" t="s">
        <v>5</v>
      </c>
      <c r="E6" s="107" t="s">
        <v>6</v>
      </c>
      <c r="F6" s="102" t="s">
        <v>7</v>
      </c>
      <c r="G6" s="107" t="s">
        <v>8</v>
      </c>
      <c r="H6" s="128" t="s">
        <v>9</v>
      </c>
      <c r="I6" s="127" t="s">
        <v>10</v>
      </c>
      <c r="J6" s="127" t="s">
        <v>11</v>
      </c>
      <c r="K6" s="103" t="s">
        <v>12</v>
      </c>
      <c r="L6" s="93" t="s">
        <v>13</v>
      </c>
      <c r="M6" s="138" t="s">
        <v>14</v>
      </c>
      <c r="N6" s="104"/>
    </row>
    <row r="7" spans="1:14" ht="17" thickBot="1">
      <c r="A7" s="136">
        <v>46057</v>
      </c>
      <c r="B7" s="136" t="str">
        <f t="shared" ref="B7:B24" si="0">IF($A7="","",PROPER(TEXT($A7,"mmm")) &amp; "/" &amp; TEXT($A7,"aa"))</f>
        <v>Fev/26</v>
      </c>
      <c r="C7" s="220" t="s">
        <v>129</v>
      </c>
      <c r="D7" s="115" t="s">
        <v>114</v>
      </c>
      <c r="E7" s="129">
        <v>1</v>
      </c>
      <c r="F7" s="115" t="s">
        <v>113</v>
      </c>
      <c r="G7" s="113" t="s">
        <v>111</v>
      </c>
      <c r="H7" s="108" cm="1">
        <f t="array" ref="H7">_xlfn.XLOOKUP($B7 &amp; $D7 &amp; $F7 &amp; $G7, Produtos!$B:$B &amp; Produtos!$C:$C &amp; Produtos!$D:$D &amp; Produtos!$E:$E, Produtos!$P:$P, "")</f>
        <v>47.063358300000004</v>
      </c>
      <c r="I7" s="177">
        <f t="shared" ref="I7:I24" si="1">IFERROR($H7*I$5,"")</f>
        <v>84.714044940000008</v>
      </c>
      <c r="J7" s="146">
        <f>IFERROR($E7*$I7,"")</f>
        <v>84.714044940000008</v>
      </c>
      <c r="K7" s="117">
        <v>0</v>
      </c>
      <c r="L7" s="148">
        <v>150</v>
      </c>
      <c r="M7" s="139">
        <f t="shared" ref="M7:M24" si="2">IFERROR(IF(OR($L7="",$L7=0),"",($L7-$J7)/$J7),"")</f>
        <v>0.7706627054137215</v>
      </c>
      <c r="N7" s="80"/>
    </row>
    <row r="8" spans="1:14">
      <c r="A8" s="137">
        <v>46065</v>
      </c>
      <c r="B8" s="137" t="str">
        <f t="shared" si="0"/>
        <v>Fev/26</v>
      </c>
      <c r="C8" s="218" t="s">
        <v>130</v>
      </c>
      <c r="D8" s="116" t="s">
        <v>115</v>
      </c>
      <c r="E8" s="130">
        <v>1</v>
      </c>
      <c r="F8" s="116" t="s">
        <v>113</v>
      </c>
      <c r="G8" s="114" t="s">
        <v>111</v>
      </c>
      <c r="H8" s="108" cm="1">
        <f t="array" ref="H8">_xlfn.XLOOKUP($B8 &amp; $D8 &amp; $F8 &amp; $G8, Produtos!$B:$B &amp; Produtos!$C:$C &amp; Produtos!$D:$D &amp; Produtos!$E:$E, Produtos!$P:$P, "")</f>
        <v>33.697545108333337</v>
      </c>
      <c r="I8" s="177">
        <f t="shared" si="1"/>
        <v>60.655581195000011</v>
      </c>
      <c r="J8" s="146">
        <f t="shared" ref="J8:J24" si="3">IFERROR($E8*$I8,"")</f>
        <v>60.655581195000011</v>
      </c>
      <c r="K8" s="118">
        <v>40</v>
      </c>
      <c r="L8" s="149">
        <v>230</v>
      </c>
      <c r="M8" s="139">
        <f t="shared" si="2"/>
        <v>2.7919016761306619</v>
      </c>
      <c r="N8" s="219">
        <v>190</v>
      </c>
    </row>
    <row r="9" spans="1:14">
      <c r="A9" s="137">
        <v>46065</v>
      </c>
      <c r="B9" s="137" t="str">
        <f t="shared" si="0"/>
        <v>Fev/26</v>
      </c>
      <c r="C9" s="218" t="s">
        <v>17</v>
      </c>
      <c r="D9" s="116" t="s">
        <v>116</v>
      </c>
      <c r="E9" s="130">
        <v>1</v>
      </c>
      <c r="F9" s="116" t="s">
        <v>113</v>
      </c>
      <c r="G9" s="114" t="s">
        <v>111</v>
      </c>
      <c r="H9" s="108" cm="1">
        <f t="array" ref="H9">_xlfn.XLOOKUP($B9 &amp; $D9 &amp; $F9 &amp; $G9, Produtos!$B:$B &amp; Produtos!$C:$C &amp; Produtos!$D:$D &amp; Produtos!$E:$E, Produtos!$P:$P, "")</f>
        <v>18.631927636666667</v>
      </c>
      <c r="I9" s="177">
        <f t="shared" si="1"/>
        <v>33.537469745999999</v>
      </c>
      <c r="J9" s="146">
        <f t="shared" si="3"/>
        <v>33.537469745999999</v>
      </c>
      <c r="K9" s="118">
        <v>0</v>
      </c>
      <c r="L9" s="151">
        <v>50</v>
      </c>
      <c r="M9" s="139">
        <f t="shared" si="2"/>
        <v>0.49086977576665514</v>
      </c>
    </row>
    <row r="10" spans="1:14" ht="17" thickBot="1">
      <c r="A10" s="137">
        <v>46071</v>
      </c>
      <c r="B10" s="137" t="str">
        <f t="shared" si="0"/>
        <v>Fev/26</v>
      </c>
      <c r="C10" s="218" t="s">
        <v>130</v>
      </c>
      <c r="D10" s="116" t="s">
        <v>131</v>
      </c>
      <c r="E10" s="130">
        <v>1</v>
      </c>
      <c r="F10" s="116" t="s">
        <v>113</v>
      </c>
      <c r="G10" s="114" t="s">
        <v>111</v>
      </c>
      <c r="H10" s="108" cm="1">
        <f t="array" ref="H10">_xlfn.XLOOKUP($B10 &amp; $D10 &amp; $F10 &amp; $G10, Produtos!$B:$B &amp; Produtos!$C:$C &amp; Produtos!$D:$D &amp; Produtos!$E:$E, Produtos!$P:$P, "")</f>
        <v>12.990131916666668</v>
      </c>
      <c r="I10" s="177">
        <f t="shared" si="1"/>
        <v>23.382237450000002</v>
      </c>
      <c r="J10" s="146">
        <f t="shared" si="3"/>
        <v>23.382237450000002</v>
      </c>
      <c r="K10" s="118">
        <v>0</v>
      </c>
      <c r="L10" s="150">
        <v>50</v>
      </c>
      <c r="M10" s="139">
        <f t="shared" si="2"/>
        <v>1.1383753418345341</v>
      </c>
    </row>
    <row r="11" spans="1:14" ht="17" thickBot="1">
      <c r="A11" s="137">
        <v>46072</v>
      </c>
      <c r="B11" s="137" t="str">
        <f t="shared" si="0"/>
        <v>Fev/26</v>
      </c>
      <c r="C11" s="218" t="s">
        <v>132</v>
      </c>
      <c r="D11" s="116" t="s">
        <v>118</v>
      </c>
      <c r="E11" s="130">
        <v>1</v>
      </c>
      <c r="F11" s="116" t="s">
        <v>113</v>
      </c>
      <c r="G11" s="114" t="s">
        <v>111</v>
      </c>
      <c r="H11" s="108" cm="1">
        <f t="array" ref="H11">_xlfn.XLOOKUP($B11 &amp; $D11 &amp; $F11 &amp; $G11, Produtos!$B:$B &amp; Produtos!$C:$C &amp; Produtos!$D:$D &amp; Produtos!$E:$E, Produtos!$P:$P, "")</f>
        <v>47.233969535</v>
      </c>
      <c r="I11" s="177">
        <f t="shared" si="1"/>
        <v>85.021145163</v>
      </c>
      <c r="J11" s="146">
        <f t="shared" si="3"/>
        <v>85.021145163</v>
      </c>
      <c r="K11" s="118">
        <v>0</v>
      </c>
      <c r="L11" s="150">
        <v>230</v>
      </c>
      <c r="M11" s="139">
        <f t="shared" si="2"/>
        <v>1.7052093871359986</v>
      </c>
    </row>
    <row r="12" spans="1:14" ht="17" thickBot="1">
      <c r="A12" s="137">
        <v>46074</v>
      </c>
      <c r="B12" s="137" t="str">
        <f t="shared" si="0"/>
        <v>Fev/26</v>
      </c>
      <c r="C12" s="137" t="s">
        <v>133</v>
      </c>
      <c r="D12" s="116" t="s">
        <v>120</v>
      </c>
      <c r="E12" s="130">
        <v>1</v>
      </c>
      <c r="F12" s="116" t="s">
        <v>113</v>
      </c>
      <c r="G12" s="114" t="s">
        <v>18</v>
      </c>
      <c r="H12" s="108" cm="1">
        <f t="array" ref="H12">_xlfn.XLOOKUP($B12 &amp; $D12 &amp; $F12 &amp; $G12, Produtos!$B:$B &amp; Produtos!$C:$C &amp; Produtos!$D:$D &amp; Produtos!$E:$E, Produtos!$P:$P, "")</f>
        <v>21.873127631666669</v>
      </c>
      <c r="I12" s="177">
        <f t="shared" si="1"/>
        <v>39.371629737000006</v>
      </c>
      <c r="J12" s="146">
        <f t="shared" si="3"/>
        <v>39.371629737000006</v>
      </c>
      <c r="K12" s="119">
        <v>0</v>
      </c>
      <c r="L12" s="150">
        <v>50</v>
      </c>
      <c r="M12" s="139">
        <f t="shared" si="2"/>
        <v>0.26994996991480502</v>
      </c>
    </row>
    <row r="13" spans="1:14" ht="17" thickBot="1">
      <c r="A13" s="137">
        <v>46074</v>
      </c>
      <c r="B13" s="137" t="str">
        <f t="shared" si="0"/>
        <v>Fev/26</v>
      </c>
      <c r="C13" s="218" t="s">
        <v>133</v>
      </c>
      <c r="D13" s="116" t="s">
        <v>121</v>
      </c>
      <c r="E13" s="130">
        <v>1</v>
      </c>
      <c r="F13" s="116" t="s">
        <v>113</v>
      </c>
      <c r="G13" s="114" t="s">
        <v>18</v>
      </c>
      <c r="H13" s="108" cm="1">
        <f t="array" ref="H13">_xlfn.XLOOKUP($B13 &amp; $D13 &amp; $F13 &amp; $G13, Produtos!$B:$B &amp; Produtos!$C:$C &amp; Produtos!$D:$D &amp; Produtos!$E:$E, Produtos!$P:$P, "")</f>
        <v>61.960952625000004</v>
      </c>
      <c r="I13" s="177">
        <f t="shared" si="1"/>
        <v>111.52971472500001</v>
      </c>
      <c r="J13" s="146">
        <f t="shared" si="3"/>
        <v>111.52971472500001</v>
      </c>
      <c r="K13" s="118">
        <v>40</v>
      </c>
      <c r="L13" s="150">
        <v>150</v>
      </c>
      <c r="M13" s="139">
        <f t="shared" si="2"/>
        <v>0.34493305546290137</v>
      </c>
    </row>
    <row r="14" spans="1:14" ht="17" thickBot="1">
      <c r="A14" s="137">
        <v>46055</v>
      </c>
      <c r="B14" s="137" t="str">
        <f t="shared" si="0"/>
        <v>Fev/26</v>
      </c>
      <c r="C14" s="218" t="s">
        <v>134</v>
      </c>
      <c r="D14" s="116" t="s">
        <v>122</v>
      </c>
      <c r="E14" s="130">
        <v>16</v>
      </c>
      <c r="F14" s="116" t="s">
        <v>113</v>
      </c>
      <c r="G14" s="114" t="s">
        <v>111</v>
      </c>
      <c r="H14" s="108" cm="1">
        <f t="array" ref="H14">_xlfn.XLOOKUP($B14 &amp; $D14 &amp; $F14 &amp; $G14, Produtos!$B:$B &amp; Produtos!$C:$C &amp; Produtos!$D:$D &amp; Produtos!$E:$E, Produtos!$P:$P, "")</f>
        <v>1.1891692633333333</v>
      </c>
      <c r="I14" s="177">
        <f t="shared" si="1"/>
        <v>2.1405046739999998</v>
      </c>
      <c r="J14" s="146">
        <f t="shared" si="3"/>
        <v>34.248074783999996</v>
      </c>
      <c r="K14" s="118"/>
      <c r="L14" s="150">
        <v>104</v>
      </c>
      <c r="M14" s="139">
        <f t="shared" si="2"/>
        <v>2.0366670435030318</v>
      </c>
    </row>
    <row r="15" spans="1:14" ht="17" thickBot="1">
      <c r="A15" s="137">
        <v>46067</v>
      </c>
      <c r="B15" s="137" t="str">
        <f t="shared" si="0"/>
        <v>Fev/26</v>
      </c>
      <c r="C15" s="218" t="s">
        <v>135</v>
      </c>
      <c r="D15" s="116" t="s">
        <v>122</v>
      </c>
      <c r="E15" s="130">
        <v>10</v>
      </c>
      <c r="F15" s="116" t="s">
        <v>113</v>
      </c>
      <c r="G15" s="114" t="s">
        <v>111</v>
      </c>
      <c r="H15" s="108" cm="1">
        <f t="array" ref="H15">_xlfn.XLOOKUP($B15 &amp; $D15 &amp; $F15 &amp; $G15, Produtos!$B:$B &amp; Produtos!$C:$C &amp; Produtos!$D:$D &amp; Produtos!$E:$E, Produtos!$P:$P, "")</f>
        <v>1.1891692633333333</v>
      </c>
      <c r="I15" s="177">
        <f t="shared" si="1"/>
        <v>2.1405046739999998</v>
      </c>
      <c r="J15" s="146">
        <f t="shared" si="3"/>
        <v>21.405046739999996</v>
      </c>
      <c r="K15" s="118"/>
      <c r="L15" s="150">
        <v>65</v>
      </c>
      <c r="M15" s="139">
        <f t="shared" si="2"/>
        <v>2.0366670435030318</v>
      </c>
      <c r="N15" s="221"/>
    </row>
    <row r="16" spans="1:14" ht="17" thickBot="1">
      <c r="A16" s="137">
        <v>46066</v>
      </c>
      <c r="B16" s="137" t="str">
        <f t="shared" si="0"/>
        <v>Fev/26</v>
      </c>
      <c r="C16" s="218" t="s">
        <v>134</v>
      </c>
      <c r="D16" s="116" t="s">
        <v>124</v>
      </c>
      <c r="E16" s="130">
        <v>10</v>
      </c>
      <c r="F16" s="116" t="s">
        <v>113</v>
      </c>
      <c r="G16" s="114" t="s">
        <v>18</v>
      </c>
      <c r="H16" s="108" cm="1">
        <f t="array" ref="H16">_xlfn.XLOOKUP($B16 &amp; $D16 &amp; $F16 &amp; $G16, Produtos!$B:$B &amp; Produtos!$C:$C &amp; Produtos!$D:$D &amp; Produtos!$E:$E, Produtos!$P:$P, "")</f>
        <v>22.662777303333336</v>
      </c>
      <c r="I16" s="177">
        <f t="shared" si="1"/>
        <v>40.792999146000007</v>
      </c>
      <c r="J16" s="146">
        <f t="shared" si="3"/>
        <v>407.92999146000005</v>
      </c>
      <c r="K16" s="118"/>
      <c r="L16" s="150">
        <v>100</v>
      </c>
      <c r="M16" s="139">
        <f t="shared" si="2"/>
        <v>-0.7548598973022419</v>
      </c>
    </row>
    <row r="17" spans="1:14" ht="17" thickBot="1">
      <c r="A17" s="137">
        <v>46070</v>
      </c>
      <c r="B17" s="137" t="str">
        <f t="shared" si="0"/>
        <v>Fev/26</v>
      </c>
      <c r="C17" s="218" t="s">
        <v>135</v>
      </c>
      <c r="D17" s="116" t="s">
        <v>128</v>
      </c>
      <c r="E17" s="130">
        <v>1</v>
      </c>
      <c r="F17" s="116" t="s">
        <v>113</v>
      </c>
      <c r="G17" s="114" t="s">
        <v>111</v>
      </c>
      <c r="H17" s="108" cm="1">
        <f t="array" ref="H17">_xlfn.XLOOKUP($B17 &amp; $D17 &amp; $F17 &amp; $G17, Produtos!$B:$B &amp; Produtos!$C:$C &amp; Produtos!$D:$D &amp; Produtos!$E:$E, Produtos!$P:$P, "")</f>
        <v>33.380780051666669</v>
      </c>
      <c r="I17" s="177">
        <f t="shared" si="1"/>
        <v>60.085404093000008</v>
      </c>
      <c r="J17" s="146">
        <f t="shared" si="3"/>
        <v>60.085404093000008</v>
      </c>
      <c r="K17" s="118"/>
      <c r="L17" s="150">
        <v>65</v>
      </c>
      <c r="M17" s="139">
        <f t="shared" si="2"/>
        <v>8.1793506779004016E-2</v>
      </c>
    </row>
    <row r="18" spans="1:14" ht="17" thickBot="1">
      <c r="A18" s="137">
        <v>46104</v>
      </c>
      <c r="B18" s="137" t="str">
        <f t="shared" si="0"/>
        <v>Mar/26</v>
      </c>
      <c r="C18" s="137" t="s">
        <v>134</v>
      </c>
      <c r="D18" s="116" t="s">
        <v>139</v>
      </c>
      <c r="E18" s="130">
        <v>1</v>
      </c>
      <c r="F18" s="116" t="s">
        <v>113</v>
      </c>
      <c r="G18" s="114" t="s">
        <v>18</v>
      </c>
      <c r="H18" s="108" cm="1">
        <f t="array" ref="H18">_xlfn.XLOOKUP($B18 &amp; $D18 &amp; $F18 &amp; $G18, Produtos!$B:$B &amp; Produtos!$C:$C &amp; Produtos!$D:$D &amp; Produtos!$E:$E, Produtos!$P:$P, "")</f>
        <v>14.116119453333333</v>
      </c>
      <c r="I18" s="177">
        <f t="shared" si="1"/>
        <v>25.409015016000001</v>
      </c>
      <c r="J18" s="146">
        <f t="shared" si="3"/>
        <v>25.409015016000001</v>
      </c>
      <c r="K18" s="119"/>
      <c r="L18" s="150">
        <v>65</v>
      </c>
      <c r="M18" s="139">
        <f t="shared" si="2"/>
        <v>1.5581471756803498</v>
      </c>
    </row>
    <row r="19" spans="1:14" ht="17" thickBot="1">
      <c r="A19" s="137">
        <v>46104</v>
      </c>
      <c r="B19" s="137" t="str">
        <f t="shared" si="0"/>
        <v>Mar/26</v>
      </c>
      <c r="C19" s="237" t="s">
        <v>134</v>
      </c>
      <c r="D19" s="116" t="s">
        <v>145</v>
      </c>
      <c r="E19" s="130">
        <v>1</v>
      </c>
      <c r="F19" s="116" t="s">
        <v>113</v>
      </c>
      <c r="G19" s="114" t="s">
        <v>110</v>
      </c>
      <c r="H19" s="108" cm="1">
        <f t="array" ref="H19">_xlfn.XLOOKUP($B19 &amp; $D19 &amp; $F19 &amp; $G19, Produtos!$B:$B &amp; Produtos!$C:$C &amp; Produtos!$D:$D &amp; Produtos!$E:$E, Produtos!$P:$P, "")</f>
        <v>39.476720084999997</v>
      </c>
      <c r="I19" s="177">
        <f t="shared" si="1"/>
        <v>71.058096152999994</v>
      </c>
      <c r="J19" s="146">
        <f t="shared" si="3"/>
        <v>71.058096152999994</v>
      </c>
      <c r="K19" s="118"/>
      <c r="L19" s="150">
        <v>100</v>
      </c>
      <c r="M19" s="139">
        <f t="shared" si="2"/>
        <v>0.40729917368857216</v>
      </c>
    </row>
    <row r="20" spans="1:14" ht="17" thickBot="1">
      <c r="A20" s="137"/>
      <c r="B20" s="137" t="str">
        <f t="shared" si="0"/>
        <v/>
      </c>
      <c r="C20" s="79"/>
      <c r="D20" s="116"/>
      <c r="E20" s="130"/>
      <c r="F20" s="116"/>
      <c r="G20" s="114"/>
      <c r="H20" s="108" cm="1">
        <f t="array" ref="H20">_xlfn.XLOOKUP($B20 &amp; $D20 &amp; $F20 &amp; $G20, Produtos!$B:$B &amp; Produtos!$C:$C &amp; Produtos!$D:$D &amp; Produtos!$E:$E, Produtos!$P:$P, "")</f>
        <v>0</v>
      </c>
      <c r="I20" s="177">
        <f t="shared" si="1"/>
        <v>0</v>
      </c>
      <c r="J20" s="146">
        <f t="shared" si="3"/>
        <v>0</v>
      </c>
      <c r="K20" s="118"/>
      <c r="L20" s="150"/>
      <c r="M20" s="139" t="str">
        <f t="shared" si="2"/>
        <v/>
      </c>
    </row>
    <row r="21" spans="1:14" ht="17" thickBot="1">
      <c r="A21" s="137"/>
      <c r="B21" s="137" t="str">
        <f t="shared" si="0"/>
        <v/>
      </c>
      <c r="C21" s="79"/>
      <c r="D21" s="116"/>
      <c r="E21" s="130"/>
      <c r="F21" s="116"/>
      <c r="G21" s="114"/>
      <c r="H21" s="108" cm="1">
        <f t="array" ref="H21">_xlfn.XLOOKUP($B21 &amp; $D21 &amp; $F21 &amp; $G21, Produtos!$B:$B &amp; Produtos!$C:$C &amp; Produtos!$D:$D &amp; Produtos!$E:$E, Produtos!$P:$P, "")</f>
        <v>0</v>
      </c>
      <c r="I21" s="177">
        <f t="shared" si="1"/>
        <v>0</v>
      </c>
      <c r="J21" s="146">
        <f t="shared" si="3"/>
        <v>0</v>
      </c>
      <c r="K21" s="118"/>
      <c r="L21" s="150"/>
      <c r="M21" s="139" t="str">
        <f t="shared" si="2"/>
        <v/>
      </c>
      <c r="N21" s="80"/>
    </row>
    <row r="22" spans="1:14" ht="17" thickBot="1">
      <c r="A22" s="137"/>
      <c r="B22" s="137" t="str">
        <f t="shared" si="0"/>
        <v/>
      </c>
      <c r="C22" s="79"/>
      <c r="D22" s="116"/>
      <c r="E22" s="130"/>
      <c r="F22" s="116"/>
      <c r="G22" s="114"/>
      <c r="H22" s="108" cm="1">
        <f t="array" ref="H22">_xlfn.XLOOKUP($B22 &amp; $D22 &amp; $F22 &amp; $G22, Produtos!$B:$B &amp; Produtos!$C:$C &amp; Produtos!$D:$D &amp; Produtos!$E:$E, Produtos!$P:$P, "")</f>
        <v>0</v>
      </c>
      <c r="I22" s="177">
        <f t="shared" si="1"/>
        <v>0</v>
      </c>
      <c r="J22" s="146">
        <f t="shared" si="3"/>
        <v>0</v>
      </c>
      <c r="K22" s="118"/>
      <c r="L22" s="150"/>
      <c r="M22" s="139" t="str">
        <f t="shared" si="2"/>
        <v/>
      </c>
    </row>
    <row r="23" spans="1:14" ht="17" thickBot="1">
      <c r="A23" s="137"/>
      <c r="B23" s="137" t="str">
        <f t="shared" si="0"/>
        <v/>
      </c>
      <c r="C23" s="79"/>
      <c r="D23" s="116"/>
      <c r="E23" s="130"/>
      <c r="F23" s="116"/>
      <c r="G23" s="114"/>
      <c r="H23" s="108" cm="1">
        <f t="array" ref="H23">_xlfn.XLOOKUP($B23 &amp; $D23 &amp; $F23 &amp; $G23, Produtos!$B:$B &amp; Produtos!$C:$C &amp; Produtos!$D:$D &amp; Produtos!$E:$E, Produtos!$P:$P, "")</f>
        <v>0</v>
      </c>
      <c r="I23" s="177">
        <f t="shared" si="1"/>
        <v>0</v>
      </c>
      <c r="J23" s="146">
        <f t="shared" si="3"/>
        <v>0</v>
      </c>
      <c r="K23" s="118"/>
      <c r="L23" s="150"/>
      <c r="M23" s="139" t="str">
        <f t="shared" si="2"/>
        <v/>
      </c>
    </row>
    <row r="24" spans="1:14" ht="17" thickBot="1">
      <c r="A24" s="140"/>
      <c r="B24" s="137" t="str">
        <f t="shared" si="0"/>
        <v/>
      </c>
      <c r="C24" s="141"/>
      <c r="D24" s="142"/>
      <c r="E24" s="130"/>
      <c r="F24" s="116"/>
      <c r="G24" s="143"/>
      <c r="H24" s="108" cm="1">
        <f t="array" ref="H24">_xlfn.XLOOKUP($B24 &amp; $D24 &amp; $F24 &amp; $G24, Produtos!$B:$B &amp; Produtos!$C:$C &amp; Produtos!$D:$D &amp; Produtos!$E:$E, Produtos!$P:$P, "")</f>
        <v>0</v>
      </c>
      <c r="I24" s="178">
        <f t="shared" si="1"/>
        <v>0</v>
      </c>
      <c r="J24" s="147">
        <f t="shared" si="3"/>
        <v>0</v>
      </c>
      <c r="K24" s="144"/>
      <c r="L24" s="150"/>
      <c r="M24" s="145" t="str">
        <f t="shared" si="2"/>
        <v/>
      </c>
    </row>
    <row r="25" spans="1:14">
      <c r="A25" s="140"/>
      <c r="B25" s="137" t="str">
        <f t="shared" ref="B25:B32" si="4">IF($A25="","",PROPER(TEXT($A25,"mmm")) &amp; "/" &amp; TEXT($A25,"aa"))</f>
        <v/>
      </c>
      <c r="C25" s="79"/>
      <c r="D25" s="116"/>
      <c r="E25" s="130"/>
      <c r="F25" s="116"/>
      <c r="G25" s="114"/>
      <c r="H25" s="108" cm="1">
        <f t="array" ref="H25">_xlfn.XLOOKUP($B25 &amp; $D25 &amp; $F25 &amp; $G25, Produtos!$B:$B &amp; Produtos!$C:$C &amp; Produtos!$D:$D &amp; Produtos!$E:$E, Produtos!$P:$P, "")</f>
        <v>0</v>
      </c>
      <c r="I25" s="177">
        <f t="shared" ref="I25:I32" si="5">IFERROR($H25*I$5,"")</f>
        <v>0</v>
      </c>
      <c r="J25" s="146">
        <f t="shared" ref="J25:J32" si="6">IFERROR($E25*$I25,"")</f>
        <v>0</v>
      </c>
      <c r="K25" s="118"/>
      <c r="L25" s="215"/>
      <c r="M25" s="139" t="str">
        <f t="shared" ref="M25:M32" si="7">IFERROR(IF(OR($L25="",$L25=0),"",($L25-$J25)/$J25),"")</f>
        <v/>
      </c>
    </row>
    <row r="26" spans="1:14">
      <c r="A26" s="140"/>
      <c r="B26" s="137" t="str">
        <f t="shared" si="4"/>
        <v/>
      </c>
      <c r="C26" s="79"/>
      <c r="D26" s="116"/>
      <c r="E26" s="130"/>
      <c r="F26" s="116"/>
      <c r="G26" s="114"/>
      <c r="H26" s="108" cm="1">
        <f t="array" ref="H26">_xlfn.XLOOKUP($B26 &amp; $D26 &amp; $F26 &amp; $G26, Produtos!$B:$B &amp; Produtos!$C:$C &amp; Produtos!$D:$D &amp; Produtos!$E:$E, Produtos!$P:$P, "")</f>
        <v>0</v>
      </c>
      <c r="I26" s="177">
        <f t="shared" si="5"/>
        <v>0</v>
      </c>
      <c r="J26" s="146">
        <f t="shared" si="6"/>
        <v>0</v>
      </c>
      <c r="K26" s="118"/>
      <c r="L26" s="215"/>
      <c r="M26" s="139" t="str">
        <f t="shared" si="7"/>
        <v/>
      </c>
    </row>
    <row r="27" spans="1:14">
      <c r="A27" s="140"/>
      <c r="B27" s="137" t="str">
        <f t="shared" si="4"/>
        <v/>
      </c>
      <c r="C27" s="79"/>
      <c r="D27" s="116"/>
      <c r="E27" s="130"/>
      <c r="F27" s="116"/>
      <c r="G27" s="114"/>
      <c r="H27" s="108" cm="1">
        <f t="array" ref="H27">_xlfn.XLOOKUP($B27 &amp; $D27 &amp; $F27 &amp; $G27, Produtos!$B:$B &amp; Produtos!$C:$C &amp; Produtos!$D:$D &amp; Produtos!$E:$E, Produtos!$P:$P, "")</f>
        <v>0</v>
      </c>
      <c r="I27" s="177">
        <f t="shared" si="5"/>
        <v>0</v>
      </c>
      <c r="J27" s="146">
        <f t="shared" si="6"/>
        <v>0</v>
      </c>
      <c r="K27" s="118"/>
      <c r="L27" s="215"/>
      <c r="M27" s="139" t="str">
        <f t="shared" si="7"/>
        <v/>
      </c>
    </row>
    <row r="28" spans="1:14" ht="16" customHeight="1">
      <c r="A28" s="140"/>
      <c r="B28" s="137" t="str">
        <f t="shared" si="4"/>
        <v/>
      </c>
      <c r="C28" s="79"/>
      <c r="D28" s="116"/>
      <c r="E28" s="130"/>
      <c r="F28" s="116"/>
      <c r="G28" s="114"/>
      <c r="H28" s="108" cm="1">
        <f t="array" ref="H28">_xlfn.XLOOKUP($B28 &amp; $D28 &amp; $F28 &amp; $G28, Produtos!$B:$B &amp; Produtos!$C:$C &amp; Produtos!$D:$D &amp; Produtos!$E:$E, Produtos!$P:$P, "")</f>
        <v>0</v>
      </c>
      <c r="I28" s="177">
        <f t="shared" si="5"/>
        <v>0</v>
      </c>
      <c r="J28" s="146">
        <f t="shared" si="6"/>
        <v>0</v>
      </c>
      <c r="K28" s="118"/>
      <c r="L28" s="215"/>
      <c r="M28" s="139" t="str">
        <f t="shared" si="7"/>
        <v/>
      </c>
    </row>
    <row r="29" spans="1:14">
      <c r="A29" s="140"/>
      <c r="B29" s="137" t="str">
        <f t="shared" si="4"/>
        <v/>
      </c>
      <c r="C29" s="79"/>
      <c r="D29" s="116"/>
      <c r="E29" s="130"/>
      <c r="F29" s="116"/>
      <c r="G29" s="114"/>
      <c r="H29" s="108" cm="1">
        <f t="array" ref="H29">_xlfn.XLOOKUP($B29 &amp; $D29 &amp; $F29 &amp; $G29, Produtos!$B:$B &amp; Produtos!$C:$C &amp; Produtos!$D:$D &amp; Produtos!$E:$E, Produtos!$P:$P, "")</f>
        <v>0</v>
      </c>
      <c r="I29" s="177">
        <f t="shared" si="5"/>
        <v>0</v>
      </c>
      <c r="J29" s="146">
        <f t="shared" si="6"/>
        <v>0</v>
      </c>
      <c r="K29" s="118"/>
      <c r="L29" s="215"/>
      <c r="M29" s="139" t="str">
        <f t="shared" si="7"/>
        <v/>
      </c>
    </row>
    <row r="30" spans="1:14">
      <c r="A30" s="140"/>
      <c r="B30" s="137" t="str">
        <f t="shared" si="4"/>
        <v/>
      </c>
      <c r="C30" s="79"/>
      <c r="D30" s="116"/>
      <c r="E30" s="130"/>
      <c r="F30" s="116"/>
      <c r="G30" s="114"/>
      <c r="H30" s="108" cm="1">
        <f t="array" ref="H30">_xlfn.XLOOKUP($B30 &amp; $D30 &amp; $F30 &amp; $G30, Produtos!$B:$B &amp; Produtos!$C:$C &amp; Produtos!$D:$D &amp; Produtos!$E:$E, Produtos!$P:$P, "")</f>
        <v>0</v>
      </c>
      <c r="I30" s="177">
        <f t="shared" si="5"/>
        <v>0</v>
      </c>
      <c r="J30" s="146">
        <f t="shared" si="6"/>
        <v>0</v>
      </c>
      <c r="K30" s="118"/>
      <c r="L30" s="215"/>
      <c r="M30" s="139" t="str">
        <f t="shared" si="7"/>
        <v/>
      </c>
    </row>
    <row r="31" spans="1:14">
      <c r="A31" s="140"/>
      <c r="B31" s="137" t="str">
        <f t="shared" si="4"/>
        <v/>
      </c>
      <c r="C31" s="79"/>
      <c r="D31" s="116"/>
      <c r="E31" s="130"/>
      <c r="F31" s="116"/>
      <c r="G31" s="114"/>
      <c r="H31" s="108" cm="1">
        <f t="array" ref="H31">_xlfn.XLOOKUP($B31 &amp; $D31 &amp; $F31 &amp; $G31, Produtos!$B:$B &amp; Produtos!$C:$C &amp; Produtos!$D:$D &amp; Produtos!$E:$E, Produtos!$P:$P, "")</f>
        <v>0</v>
      </c>
      <c r="I31" s="177">
        <f t="shared" si="5"/>
        <v>0</v>
      </c>
      <c r="J31" s="146">
        <f t="shared" si="6"/>
        <v>0</v>
      </c>
      <c r="K31" s="118"/>
      <c r="L31" s="215"/>
      <c r="M31" s="139" t="str">
        <f t="shared" si="7"/>
        <v/>
      </c>
    </row>
    <row r="32" spans="1:14">
      <c r="A32" s="140"/>
      <c r="B32" s="137" t="str">
        <f t="shared" si="4"/>
        <v/>
      </c>
      <c r="C32" s="79"/>
      <c r="D32" s="116"/>
      <c r="E32" s="130"/>
      <c r="F32" s="116"/>
      <c r="G32" s="114"/>
      <c r="H32" s="108" cm="1">
        <f t="array" ref="H32">_xlfn.XLOOKUP($B32 &amp; $D32 &amp; $F32 &amp; $G32, Produtos!$B:$B &amp; Produtos!$C:$C &amp; Produtos!$D:$D &amp; Produtos!$E:$E, Produtos!$P:$P, "")</f>
        <v>0</v>
      </c>
      <c r="I32" s="177">
        <f t="shared" si="5"/>
        <v>0</v>
      </c>
      <c r="J32" s="146">
        <f t="shared" si="6"/>
        <v>0</v>
      </c>
      <c r="K32" s="118"/>
      <c r="L32" s="215"/>
      <c r="M32" s="139" t="str">
        <f t="shared" si="7"/>
        <v/>
      </c>
    </row>
    <row r="33" spans="7:12">
      <c r="K33" s="81"/>
    </row>
    <row r="34" spans="7:12">
      <c r="L34" s="82"/>
    </row>
    <row r="35" spans="7:12">
      <c r="G35" s="134"/>
    </row>
    <row r="36" spans="7:12">
      <c r="G36" s="132"/>
      <c r="H36" s="132"/>
      <c r="J36" s="267"/>
      <c r="K36" s="267"/>
      <c r="L36" s="267"/>
    </row>
    <row r="37" spans="7:12">
      <c r="G37" s="132"/>
      <c r="H37" s="132"/>
      <c r="J37" s="267"/>
      <c r="K37" s="267"/>
      <c r="L37" s="267"/>
    </row>
    <row r="38" spans="7:12">
      <c r="G38" s="132"/>
      <c r="H38" s="132"/>
    </row>
    <row r="39" spans="7:12">
      <c r="G39" s="132"/>
      <c r="H39" s="132"/>
    </row>
    <row r="40" spans="7:12">
      <c r="G40" s="132"/>
      <c r="H40" s="132"/>
    </row>
    <row r="41" spans="7:12">
      <c r="G41" s="132"/>
      <c r="H41" s="132"/>
    </row>
    <row r="42" spans="7:12">
      <c r="G42" s="132"/>
      <c r="H42" s="132"/>
    </row>
    <row r="43" spans="7:12">
      <c r="G43" s="132"/>
      <c r="H43" s="132"/>
    </row>
    <row r="44" spans="7:12">
      <c r="G44" s="132"/>
      <c r="H44" s="132"/>
    </row>
  </sheetData>
  <mergeCells count="1">
    <mergeCell ref="J36:L37"/>
  </mergeCells>
  <conditionalFormatting sqref="L7:L32">
    <cfRule type="expression" dxfId="5" priority="8" stopIfTrue="1">
      <formula>$L7&lt;=$H7</formula>
    </cfRule>
    <cfRule type="expression" dxfId="4" priority="9" stopIfTrue="1">
      <formula>AND($L7&gt;$H7,$L7&lt;$J7)</formula>
    </cfRule>
    <cfRule type="expression" dxfId="3" priority="10" stopIfTrue="1">
      <formula>$L7&gt;=$J7</formula>
    </cfRule>
  </conditionalFormatting>
  <conditionalFormatting sqref="M7:M32">
    <cfRule type="expression" dxfId="2" priority="11" stopIfTrue="1">
      <formula>AND($M7&lt;&gt;"",$M7&lt;=0)</formula>
    </cfRule>
    <cfRule type="expression" dxfId="1" priority="12" stopIfTrue="1">
      <formula>AND($M7&gt;0,$M7&lt;(($J7-$H7)/$H7))</formula>
    </cfRule>
    <cfRule type="expression" dxfId="0" priority="13" stopIfTrue="1">
      <formula>$M7&gt;=(($J7-$H7)/$H7)</formula>
    </cfRule>
  </conditionalFormatting>
  <pageMargins left="0.11811023622047245" right="0.11811023622047245" top="0.39370078740157483" bottom="0.39370078740157483" header="0.31496062992125984" footer="0.31496062992125984"/>
  <pageSetup paperSize="9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ADBE0F-0472-4612-A0BE-AF6313C3AEE3}">
          <x14:formula1>
            <xm:f>Filamentos!$A$2:$A$21</xm:f>
          </x14:formula1>
          <xm:sqref>G7:G32</xm:sqref>
        </x14:dataValidation>
        <x14:dataValidation type="list" allowBlank="1" showInputMessage="1" showErrorMessage="1" xr:uid="{43BD323B-0E9A-4F61-A2F9-90495D106289}">
          <x14:formula1>
            <xm:f>Impressoras!$A$2:$A$7</xm:f>
          </x14:formula1>
          <xm:sqref>F7:F32</xm:sqref>
        </x14:dataValidation>
        <x14:dataValidation type="list" allowBlank="1" showInputMessage="1" showErrorMessage="1" xr:uid="{5AAA441D-F310-4C56-AF7F-E299D100E22F}">
          <x14:formula1>
            <xm:f>Produtos!$C$7:$C$27</xm:f>
          </x14:formula1>
          <xm:sqref>D31:D32</xm:sqref>
        </x14:dataValidation>
        <x14:dataValidation type="list" allowBlank="1" showInputMessage="1" showErrorMessage="1" xr:uid="{ED596541-F744-0646-ACA9-B3C33E2D4B25}">
          <x14:formula1>
            <xm:f>Produtos!$C$7:$C$30</xm:f>
          </x14:formula1>
          <xm:sqref>D7:D30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2FDA-CE87-4A3B-ABCB-5428CAA149F6}">
  <dimension ref="A1:P58"/>
  <sheetViews>
    <sheetView showGridLines="0" tabSelected="1" zoomScale="130" zoomScaleNormal="130" workbookViewId="0">
      <pane ySplit="6" topLeftCell="A46" activePane="bottomLeft" state="frozen"/>
      <selection pane="bottomLeft" activeCell="C6" sqref="C6"/>
    </sheetView>
  </sheetViews>
  <sheetFormatPr baseColWidth="10" defaultColWidth="10.6640625" defaultRowHeight="16"/>
  <cols>
    <col min="1" max="1" width="10.6640625" customWidth="1"/>
    <col min="2" max="2" width="14" customWidth="1"/>
    <col min="3" max="3" width="48.83203125" bestFit="1" customWidth="1"/>
    <col min="4" max="4" width="14.83203125" customWidth="1"/>
    <col min="5" max="5" width="23.33203125" bestFit="1" customWidth="1"/>
    <col min="6" max="6" width="12.5" customWidth="1"/>
    <col min="7" max="7" width="8.33203125" customWidth="1"/>
    <col min="8" max="8" width="8.83203125" customWidth="1"/>
    <col min="9" max="9" width="12.83203125" customWidth="1"/>
    <col min="10" max="10" width="12.1640625" customWidth="1"/>
    <col min="11" max="11" width="11.83203125" customWidth="1"/>
    <col min="12" max="12" width="13.6640625" customWidth="1"/>
    <col min="13" max="13" width="11.1640625" customWidth="1"/>
    <col min="14" max="14" width="8.1640625" customWidth="1"/>
  </cols>
  <sheetData>
    <row r="1" spans="1:16" ht="12" customHeight="1">
      <c r="A1" s="179"/>
      <c r="B1" s="179"/>
      <c r="C1" s="180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0"/>
      <c r="P1" s="180"/>
    </row>
    <row r="2" spans="1:16" ht="30.5" customHeight="1">
      <c r="A2" s="179"/>
      <c r="B2" s="179"/>
      <c r="C2" s="197" t="s">
        <v>19</v>
      </c>
      <c r="D2" s="181"/>
      <c r="E2" s="181"/>
      <c r="F2" s="186"/>
      <c r="G2" s="181"/>
      <c r="H2" s="181"/>
      <c r="I2" s="181"/>
      <c r="J2" s="181"/>
      <c r="K2" s="181"/>
      <c r="L2" s="181"/>
      <c r="M2" s="181"/>
      <c r="N2" s="182"/>
      <c r="O2" s="180"/>
      <c r="P2" s="180"/>
    </row>
    <row r="3" spans="1:16" ht="7" customHeight="1">
      <c r="A3" s="179"/>
      <c r="B3" s="179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0"/>
      <c r="P3" s="180"/>
    </row>
    <row r="4" spans="1:16" ht="17" customHeight="1" thickBot="1">
      <c r="A4" s="179"/>
      <c r="B4" s="179"/>
      <c r="C4" s="182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0"/>
      <c r="P4" s="180"/>
    </row>
    <row r="5" spans="1:16" ht="18" thickBot="1">
      <c r="A5" s="180"/>
      <c r="B5" s="183"/>
      <c r="C5" s="184"/>
      <c r="D5" s="153" t="s">
        <v>20</v>
      </c>
      <c r="E5" s="152"/>
      <c r="F5" s="152"/>
      <c r="G5" s="152"/>
      <c r="H5" s="152"/>
      <c r="I5" s="152"/>
      <c r="J5" s="189" t="s">
        <v>21</v>
      </c>
      <c r="K5" s="154"/>
      <c r="L5" s="154"/>
      <c r="M5" s="154"/>
      <c r="N5" s="154"/>
      <c r="O5" s="155"/>
      <c r="P5" s="188"/>
    </row>
    <row r="6" spans="1:16" s="77" customFormat="1" ht="52" thickBot="1">
      <c r="A6" s="131" t="s">
        <v>22</v>
      </c>
      <c r="B6" s="131" t="s">
        <v>3</v>
      </c>
      <c r="C6" s="106" t="s">
        <v>5</v>
      </c>
      <c r="D6" s="83" t="s">
        <v>7</v>
      </c>
      <c r="E6" s="83" t="s">
        <v>8</v>
      </c>
      <c r="F6" s="83" t="s">
        <v>23</v>
      </c>
      <c r="G6" s="84" t="s">
        <v>24</v>
      </c>
      <c r="H6" s="84" t="s">
        <v>25</v>
      </c>
      <c r="I6" s="84" t="s">
        <v>26</v>
      </c>
      <c r="J6" s="85" t="s">
        <v>27</v>
      </c>
      <c r="K6" s="85" t="s">
        <v>28</v>
      </c>
      <c r="L6" s="85" t="s">
        <v>29</v>
      </c>
      <c r="M6" s="87" t="s">
        <v>30</v>
      </c>
      <c r="N6" s="85" t="s">
        <v>31</v>
      </c>
      <c r="O6" s="85" t="s">
        <v>32</v>
      </c>
      <c r="P6" s="125" t="s">
        <v>33</v>
      </c>
    </row>
    <row r="7" spans="1:16">
      <c r="A7" s="216">
        <v>46054</v>
      </c>
      <c r="B7" s="217" t="str">
        <f>IF($A7="","",PROPER(TEXT($A7,"mmm")) &amp; "/" &amp; TEXT($A7,"aa"))</f>
        <v>Fev/26</v>
      </c>
      <c r="C7" s="1" t="s">
        <v>15</v>
      </c>
      <c r="D7" s="1" t="s">
        <v>113</v>
      </c>
      <c r="E7" s="1" t="s">
        <v>111</v>
      </c>
      <c r="F7" s="2">
        <v>174</v>
      </c>
      <c r="G7" s="88">
        <v>0.37152777777777779</v>
      </c>
      <c r="H7" s="90">
        <v>0</v>
      </c>
      <c r="I7" s="3">
        <v>0</v>
      </c>
      <c r="J7" s="4">
        <f>IFERROR($F7/1000*VLOOKUP($E7,Filamentos!A$2:H$96,3,FALSE),"")</f>
        <v>17.399999999999999</v>
      </c>
      <c r="K7" s="4">
        <f>IFERROR(G7*24*VLOOKUP(D7,Impressoras!A$2:G$100,6,FALSE)*Outros!$B$2,"")</f>
        <v>1.6050000000000002</v>
      </c>
      <c r="L7" s="4">
        <f>IFERROR(G7*24*VLOOKUP(D7,Impressoras!A$2:G$100,7,FALSE),"")</f>
        <v>5.1500794166666672</v>
      </c>
      <c r="M7" s="86">
        <f>IFERROR(L7*100/P7,"")</f>
        <v>19.382632936232206</v>
      </c>
      <c r="N7" s="4">
        <f>IFERROR(H7*24*Outros!$B$3,"")</f>
        <v>0</v>
      </c>
      <c r="O7" s="4">
        <f>IFERROR(($I7+$J7+$K7+$L7+$N7)*Outros!$B$4,"")</f>
        <v>2.4155079416666667</v>
      </c>
      <c r="P7" s="8">
        <f>SUM(J7:L7)+SUM(N7:O7)</f>
        <v>26.570587358333334</v>
      </c>
    </row>
    <row r="8" spans="1:16">
      <c r="A8" s="216">
        <v>46055</v>
      </c>
      <c r="B8" s="217" t="str">
        <f t="shared" ref="B8:B27" si="0">IF($A8="","",PROPER(TEXT($A8,"mmm")) &amp; "/" &amp; TEXT($A8,"aa"))</f>
        <v>Fev/26</v>
      </c>
      <c r="C8" s="5" t="s">
        <v>114</v>
      </c>
      <c r="D8" s="5" t="s">
        <v>113</v>
      </c>
      <c r="E8" s="5" t="s">
        <v>111</v>
      </c>
      <c r="F8" s="6">
        <v>193</v>
      </c>
      <c r="G8" s="92">
        <v>0.29166666666666669</v>
      </c>
      <c r="H8" s="91">
        <v>6.25E-2</v>
      </c>
      <c r="I8" s="7">
        <v>35</v>
      </c>
      <c r="J8" s="4">
        <f>IFERROR($F8/1000*VLOOKUP($E8,Filamentos!A$2:H$96,3,FALSE),"")</f>
        <v>19.3</v>
      </c>
      <c r="K8" s="4">
        <f>IFERROR(G8*24*VLOOKUP(D8,Impressoras!A$2:G$100,6,FALSE)*Outros!$B$2,"")</f>
        <v>1.26</v>
      </c>
      <c r="L8" s="4">
        <f>IFERROR(G8*24*VLOOKUP(D8,Impressoras!A$2:G$100,7,FALSE),"")</f>
        <v>4.0430529999999996</v>
      </c>
      <c r="M8" s="86">
        <f t="shared" ref="M8:M27" si="1">IFERROR(L8*100/P8,"")</f>
        <v>8.5906597957332735</v>
      </c>
      <c r="N8" s="4">
        <f>IFERROR(H8*24*Outros!$B$3,"")</f>
        <v>15</v>
      </c>
      <c r="O8" s="4">
        <f>IFERROR(($I8+$J8+$K8+$L8+$N8)*Outros!$B$4,"")</f>
        <v>7.460305299999999</v>
      </c>
      <c r="P8" s="8">
        <f t="shared" ref="P8:P27" si="2">SUM(J8:L8)+SUM(N8:O8)</f>
        <v>47.063358300000004</v>
      </c>
    </row>
    <row r="9" spans="1:16">
      <c r="A9" s="216">
        <v>46056</v>
      </c>
      <c r="B9" s="217" t="str">
        <f t="shared" si="0"/>
        <v>Fev/26</v>
      </c>
      <c r="C9" s="5" t="s">
        <v>115</v>
      </c>
      <c r="D9" s="5" t="s">
        <v>113</v>
      </c>
      <c r="E9" s="5" t="s">
        <v>111</v>
      </c>
      <c r="F9" s="6">
        <v>107.73</v>
      </c>
      <c r="G9" s="92">
        <v>0.2673611111111111</v>
      </c>
      <c r="H9" s="91">
        <v>6.25E-2</v>
      </c>
      <c r="I9" s="7">
        <v>0</v>
      </c>
      <c r="J9" s="4">
        <f>IFERROR($F9/1000*VLOOKUP($E9,Filamentos!A$2:H$96,3,FALSE),"")</f>
        <v>10.773000000000001</v>
      </c>
      <c r="K9" s="4">
        <f>IFERROR(G9*24*VLOOKUP(D9,Impressoras!A$2:G$100,6,FALSE)*Outros!$B$2,"")</f>
        <v>1.1549999999999998</v>
      </c>
      <c r="L9" s="4">
        <f>IFERROR(G9*24*VLOOKUP(D9,Impressoras!A$2:G$100,7,FALSE),"")</f>
        <v>3.7061319166666662</v>
      </c>
      <c r="M9" s="86">
        <f t="shared" si="1"/>
        <v>10.998225255732789</v>
      </c>
      <c r="N9" s="4">
        <f>IFERROR(H9*24*Outros!$B$3,"")</f>
        <v>15</v>
      </c>
      <c r="O9" s="4">
        <f>IFERROR(($I9+$J9+$K9+$L9+$N9)*Outros!$B$4,"")</f>
        <v>3.0634131916666671</v>
      </c>
      <c r="P9" s="8">
        <f t="shared" si="2"/>
        <v>33.697545108333337</v>
      </c>
    </row>
    <row r="10" spans="1:16">
      <c r="A10" s="216">
        <v>46057</v>
      </c>
      <c r="B10" s="217" t="str">
        <f t="shared" si="0"/>
        <v>Fev/26</v>
      </c>
      <c r="C10" s="5" t="s">
        <v>116</v>
      </c>
      <c r="D10" s="5" t="s">
        <v>113</v>
      </c>
      <c r="E10" s="5" t="s">
        <v>111</v>
      </c>
      <c r="F10" s="6">
        <v>84.28</v>
      </c>
      <c r="G10" s="92">
        <v>0.19305555555555556</v>
      </c>
      <c r="H10" s="91">
        <v>2.0833333333333332E-2</v>
      </c>
      <c r="I10" s="7">
        <v>0</v>
      </c>
      <c r="J10" s="4">
        <f>IFERROR($F10/1000*VLOOKUP($E10,Filamentos!A$2:H$96,3,FALSE),"")</f>
        <v>8.4280000000000008</v>
      </c>
      <c r="K10" s="4">
        <f>IFERROR(G10*24*VLOOKUP(D10,Impressoras!A$2:G$100,6,FALSE)*Outros!$B$2,"")</f>
        <v>0.83400000000000007</v>
      </c>
      <c r="L10" s="4">
        <f>IFERROR(G10*24*VLOOKUP(D10,Impressoras!A$2:G$100,7,FALSE),"")</f>
        <v>2.6761160333333334</v>
      </c>
      <c r="M10" s="86">
        <f t="shared" si="1"/>
        <v>14.363065837948382</v>
      </c>
      <c r="N10" s="4">
        <f>IFERROR(H10*24*Outros!$B$3,"")</f>
        <v>5</v>
      </c>
      <c r="O10" s="4">
        <f>IFERROR(($I10+$J10+$K10+$L10+$N10)*Outros!$B$4,"")</f>
        <v>1.6938116033333335</v>
      </c>
      <c r="P10" s="8">
        <f t="shared" si="2"/>
        <v>18.631927636666667</v>
      </c>
    </row>
    <row r="11" spans="1:16">
      <c r="A11" s="216">
        <v>46058</v>
      </c>
      <c r="B11" s="217" t="str">
        <f t="shared" si="0"/>
        <v>Fev/26</v>
      </c>
      <c r="C11" s="5" t="s">
        <v>117</v>
      </c>
      <c r="D11" s="5" t="s">
        <v>113</v>
      </c>
      <c r="E11" s="5" t="s">
        <v>110</v>
      </c>
      <c r="F11" s="6">
        <f>301.09+238.73+218.39+219.78</f>
        <v>977.9899999999999</v>
      </c>
      <c r="G11" s="92">
        <v>2.8583333333333334</v>
      </c>
      <c r="H11" s="91">
        <v>2.0833333333333332E-2</v>
      </c>
      <c r="I11" s="7">
        <v>55</v>
      </c>
      <c r="J11" s="4">
        <f>IFERROR($F11/1000*VLOOKUP($E11,Filamentos!A$2:H$96,3,FALSE),"")</f>
        <v>76.28322</v>
      </c>
      <c r="K11" s="4">
        <f>IFERROR(G11*24*VLOOKUP(D11,Impressoras!A$2:G$100,6,FALSE)*Outros!$B$2,"")</f>
        <v>12.347999999999999</v>
      </c>
      <c r="L11" s="4">
        <f>IFERROR(G11*24*VLOOKUP(D11,Impressoras!A$2:G$100,7,FALSE),"")</f>
        <v>39.621919399999996</v>
      </c>
      <c r="M11" s="86">
        <f t="shared" si="1"/>
        <v>26.053604918914935</v>
      </c>
      <c r="N11" s="4">
        <f>IFERROR(H11*24*Outros!$B$3,"")</f>
        <v>5</v>
      </c>
      <c r="O11" s="4">
        <f>IFERROR(($I11+$J11+$K11+$L11+$N11)*Outros!$B$4,"")</f>
        <v>18.825313939999997</v>
      </c>
      <c r="P11" s="8">
        <f t="shared" si="2"/>
        <v>152.07845334000001</v>
      </c>
    </row>
    <row r="12" spans="1:16">
      <c r="A12" s="216">
        <v>46059</v>
      </c>
      <c r="B12" s="217" t="str">
        <f t="shared" si="0"/>
        <v>Fev/26</v>
      </c>
      <c r="C12" s="120" t="s">
        <v>118</v>
      </c>
      <c r="D12" s="5" t="s">
        <v>113</v>
      </c>
      <c r="E12" s="5" t="s">
        <v>111</v>
      </c>
      <c r="F12" s="121">
        <f>(99.92+98.04)</f>
        <v>197.96</v>
      </c>
      <c r="G12" s="122">
        <v>0.42291666666666666</v>
      </c>
      <c r="H12" s="123">
        <v>6.25E-2</v>
      </c>
      <c r="I12" s="124">
        <v>5</v>
      </c>
      <c r="J12" s="4">
        <f>IFERROR($F12/1000*VLOOKUP($E12,Filamentos!A$2:H$96,3,FALSE),"")</f>
        <v>19.795999999999999</v>
      </c>
      <c r="K12" s="4">
        <f>IFERROR(G12*24*VLOOKUP(D12,Impressoras!A$2:G$100,6,FALSE)*Outros!$B$2,"")</f>
        <v>1.827</v>
      </c>
      <c r="L12" s="4">
        <f>IFERROR(G12*24*VLOOKUP(D12,Impressoras!A$2:G$100,7,FALSE),"")</f>
        <v>5.8624268499999994</v>
      </c>
      <c r="M12" s="86">
        <f t="shared" si="1"/>
        <v>12.411463418622878</v>
      </c>
      <c r="N12" s="4">
        <f>IFERROR(H12*24*Outros!$B$3,"")</f>
        <v>15</v>
      </c>
      <c r="O12" s="4">
        <f>IFERROR(($I12+$J12+$K12+$L12+$N12)*Outros!$B$4,"")</f>
        <v>4.7485426849999994</v>
      </c>
      <c r="P12" s="8">
        <f t="shared" si="2"/>
        <v>47.233969535</v>
      </c>
    </row>
    <row r="13" spans="1:16">
      <c r="A13" s="216">
        <v>46060</v>
      </c>
      <c r="B13" s="217" t="str">
        <f t="shared" si="0"/>
        <v>Fev/26</v>
      </c>
      <c r="C13" s="5" t="s">
        <v>119</v>
      </c>
      <c r="D13" s="5" t="s">
        <v>113</v>
      </c>
      <c r="E13" s="5" t="s">
        <v>111</v>
      </c>
      <c r="F13" s="6">
        <v>131.38999999999999</v>
      </c>
      <c r="G13" s="92">
        <v>0.35694444444444445</v>
      </c>
      <c r="H13" s="91">
        <v>2.0833333333333332E-2</v>
      </c>
      <c r="I13" s="7">
        <v>45</v>
      </c>
      <c r="J13" s="4">
        <f>IFERROR($F13/1000*VLOOKUP($E13,Filamentos!A$2:H$96,3,FALSE),"")</f>
        <v>13.138999999999998</v>
      </c>
      <c r="K13" s="4">
        <f>IFERROR(G13*24*VLOOKUP(D13,Impressoras!A$2:G$100,6,FALSE)*Outros!$B$2,"")</f>
        <v>1.5419999999999998</v>
      </c>
      <c r="L13" s="4">
        <f>IFERROR(G13*24*VLOOKUP(D13,Impressoras!A$2:G$100,7,FALSE),"")</f>
        <v>4.947926766666666</v>
      </c>
      <c r="M13" s="86">
        <f t="shared" si="1"/>
        <v>15.662050663279551</v>
      </c>
      <c r="N13" s="4">
        <f>IFERROR(H13*24*Outros!$B$3,"")</f>
        <v>5</v>
      </c>
      <c r="O13" s="4">
        <f>IFERROR(($I13+$J13+$K13+$L13+$N13)*Outros!$B$4,"")</f>
        <v>6.9628926766666668</v>
      </c>
      <c r="P13" s="8">
        <f t="shared" si="2"/>
        <v>31.591819443333328</v>
      </c>
    </row>
    <row r="14" spans="1:16">
      <c r="A14" s="216">
        <v>46061</v>
      </c>
      <c r="B14" s="217" t="str">
        <f t="shared" si="0"/>
        <v>Fev/26</v>
      </c>
      <c r="C14" s="5" t="s">
        <v>120</v>
      </c>
      <c r="D14" s="5" t="s">
        <v>113</v>
      </c>
      <c r="E14" s="5" t="s">
        <v>18</v>
      </c>
      <c r="F14" s="6">
        <v>100.99</v>
      </c>
      <c r="G14" s="92">
        <v>0.34097222222222223</v>
      </c>
      <c r="H14" s="91">
        <v>2.0833333333333332E-2</v>
      </c>
      <c r="I14" s="7">
        <v>0</v>
      </c>
      <c r="J14" s="4">
        <f>IFERROR($F14/1000*VLOOKUP($E14,Filamentos!A$2:H$96,3,FALSE),"")</f>
        <v>8.6851400000000005</v>
      </c>
      <c r="K14" s="4">
        <f>IFERROR(G14*24*VLOOKUP(D14,Impressoras!A$2:G$100,6,FALSE)*Outros!$B$2,"")</f>
        <v>1.4730000000000001</v>
      </c>
      <c r="L14" s="4">
        <f>IFERROR(G14*24*VLOOKUP(D14,Impressoras!A$2:G$100,7,FALSE),"")</f>
        <v>4.7265214833333333</v>
      </c>
      <c r="M14" s="86">
        <f t="shared" si="1"/>
        <v>21.608804936019048</v>
      </c>
      <c r="N14" s="4">
        <f>IFERROR(H14*24*Outros!$B$3,"")</f>
        <v>5</v>
      </c>
      <c r="O14" s="4">
        <f>IFERROR(($I14+$J14+$K14+$L14+$N14)*Outros!$B$4,"")</f>
        <v>1.9884661483333337</v>
      </c>
      <c r="P14" s="8">
        <f t="shared" si="2"/>
        <v>21.873127631666669</v>
      </c>
    </row>
    <row r="15" spans="1:16">
      <c r="A15" s="216">
        <v>46062</v>
      </c>
      <c r="B15" s="217" t="str">
        <f t="shared" si="0"/>
        <v>Fev/26</v>
      </c>
      <c r="C15" s="5" t="s">
        <v>140</v>
      </c>
      <c r="D15" s="5" t="s">
        <v>113</v>
      </c>
      <c r="E15" s="5" t="s">
        <v>111</v>
      </c>
      <c r="F15" s="6">
        <v>24.29</v>
      </c>
      <c r="G15" s="92">
        <v>9.0277777777777776E-2</v>
      </c>
      <c r="H15" s="91">
        <v>2.0833333333333332E-2</v>
      </c>
      <c r="I15" s="7">
        <v>0</v>
      </c>
      <c r="J15" s="4">
        <f>IFERROR($F15/1000*VLOOKUP($E15,Filamentos!A$2:H$96,3,FALSE),"")</f>
        <v>2.4289999999999998</v>
      </c>
      <c r="K15" s="4">
        <f>IFERROR(G15*24*VLOOKUP(D15,Impressoras!A$2:G$100,6,FALSE)*Outros!$B$2,"")</f>
        <v>0.38999999999999996</v>
      </c>
      <c r="L15" s="4">
        <f>IFERROR(G15*24*VLOOKUP(D15,Impressoras!A$2:G$100,7,FALSE),"")</f>
        <v>1.2514211666666666</v>
      </c>
      <c r="M15" s="86">
        <f t="shared" si="1"/>
        <v>12.542478294629055</v>
      </c>
      <c r="N15" s="4">
        <f>IFERROR(H15*24*Outros!$B$3,"")</f>
        <v>5</v>
      </c>
      <c r="O15" s="4">
        <f>IFERROR(($I15+$J15+$K15+$L15+$N15)*Outros!$B$4,"")</f>
        <v>0.90704211666666668</v>
      </c>
      <c r="P15" s="8">
        <f t="shared" si="2"/>
        <v>9.9774632833333321</v>
      </c>
    </row>
    <row r="16" spans="1:16">
      <c r="A16" s="216">
        <v>46063</v>
      </c>
      <c r="B16" s="217" t="str">
        <f t="shared" si="0"/>
        <v>Fev/26</v>
      </c>
      <c r="C16" s="5" t="s">
        <v>121</v>
      </c>
      <c r="D16" s="5" t="s">
        <v>113</v>
      </c>
      <c r="E16" s="5" t="s">
        <v>18</v>
      </c>
      <c r="F16" s="6">
        <f>(291.17+44.48)</f>
        <v>335.65000000000003</v>
      </c>
      <c r="G16" s="92">
        <v>1.5104166666666667</v>
      </c>
      <c r="H16" s="91">
        <v>0</v>
      </c>
      <c r="I16" s="7">
        <v>0</v>
      </c>
      <c r="J16" s="4">
        <f>IFERROR($F16/1000*VLOOKUP($E16,Filamentos!A$2:H$96,3,FALSE),"")</f>
        <v>28.865900000000003</v>
      </c>
      <c r="K16" s="4">
        <f>IFERROR(G16*24*VLOOKUP(D16,Impressoras!A$2:G$100,6,FALSE)*Outros!$B$2,"")</f>
        <v>6.5249999999999995</v>
      </c>
      <c r="L16" s="4">
        <f>IFERROR(G16*24*VLOOKUP(D16,Impressoras!A$2:G$100,7,FALSE),"")</f>
        <v>20.937238749999999</v>
      </c>
      <c r="M16" s="86">
        <f t="shared" si="1"/>
        <v>33.7910213819925</v>
      </c>
      <c r="N16" s="4">
        <f>IFERROR(H16*24*Outros!$B$3,"")</f>
        <v>0</v>
      </c>
      <c r="O16" s="4">
        <f>IFERROR(($I16+$J16+$K16+$L16+$N16)*Outros!$B$4,"")</f>
        <v>5.6328138750000001</v>
      </c>
      <c r="P16" s="8">
        <f t="shared" si="2"/>
        <v>61.960952625000004</v>
      </c>
    </row>
    <row r="17" spans="1:16">
      <c r="A17" s="216">
        <v>46064</v>
      </c>
      <c r="B17" s="217" t="str">
        <f t="shared" si="0"/>
        <v>Fev/26</v>
      </c>
      <c r="C17" s="5" t="s">
        <v>122</v>
      </c>
      <c r="D17" s="5" t="s">
        <v>113</v>
      </c>
      <c r="E17" s="5" t="s">
        <v>111</v>
      </c>
      <c r="F17" s="6">
        <f>90.99/16</f>
        <v>5.6868749999999997</v>
      </c>
      <c r="G17" s="92">
        <v>2.2222222222222223E-2</v>
      </c>
      <c r="H17" s="91">
        <v>3.4722222222222224E-4</v>
      </c>
      <c r="I17" s="7">
        <v>0.27500000000000002</v>
      </c>
      <c r="J17" s="4">
        <f>IFERROR($F17/1000*VLOOKUP($E17,Filamentos!A$2:H$96,3,FALSE),"")</f>
        <v>0.56868750000000001</v>
      </c>
      <c r="K17" s="4">
        <f>IFERROR(G17*24*VLOOKUP(D17,Impressoras!A$2:G$100,6,FALSE)*Outros!$B$2,"")</f>
        <v>9.6000000000000002E-2</v>
      </c>
      <c r="L17" s="4">
        <f>IFERROR(G17*24*VLOOKUP(D17,Impressoras!A$2:G$100,7,FALSE),"")</f>
        <v>0.3080421333333333</v>
      </c>
      <c r="M17" s="86">
        <f t="shared" si="1"/>
        <v>25.903977073025533</v>
      </c>
      <c r="N17" s="4">
        <f>IFERROR(H17*24*Outros!$B$3,"")</f>
        <v>8.3333333333333329E-2</v>
      </c>
      <c r="O17" s="4">
        <f>IFERROR(($I17+$J17+$K17+$L17+$N17)*Outros!$B$4,"")</f>
        <v>0.13310629666666668</v>
      </c>
      <c r="P17" s="8">
        <f>SUM(J17:L17)+SUM(N17:O17)</f>
        <v>1.1891692633333333</v>
      </c>
    </row>
    <row r="18" spans="1:16">
      <c r="A18" s="216">
        <v>46065</v>
      </c>
      <c r="B18" s="217" t="str">
        <f t="shared" si="0"/>
        <v>Fev/26</v>
      </c>
      <c r="C18" s="120" t="s">
        <v>123</v>
      </c>
      <c r="D18" s="5" t="s">
        <v>113</v>
      </c>
      <c r="E18" s="5" t="s">
        <v>112</v>
      </c>
      <c r="F18" s="121">
        <v>287.02999999999997</v>
      </c>
      <c r="G18" s="122">
        <v>0.69722222222222219</v>
      </c>
      <c r="H18" s="123">
        <v>6.25E-2</v>
      </c>
      <c r="I18" s="124">
        <v>35</v>
      </c>
      <c r="J18" s="4">
        <f>IFERROR($F18/1000*VLOOKUP($E18,Filamentos!A$2:H$96,3,FALSE),"")</f>
        <v>23.823489999999996</v>
      </c>
      <c r="K18" s="4">
        <f>IFERROR(G18*24*VLOOKUP(D18,Impressoras!A$2:G$100,6,FALSE)*Outros!$B$2,"")</f>
        <v>3.012</v>
      </c>
      <c r="L18" s="4">
        <f>IFERROR(G18*24*VLOOKUP(D18,Impressoras!A$2:G$100,7,FALSE),"")</f>
        <v>9.6648219333333323</v>
      </c>
      <c r="M18" s="86">
        <f t="shared" si="1"/>
        <v>16.067775229446021</v>
      </c>
      <c r="N18" s="4">
        <f>IFERROR(H18*24*Outros!$B$3,"")</f>
        <v>15</v>
      </c>
      <c r="O18" s="4">
        <f>IFERROR(($I18+$J18+$K18+$L18+$N18)*Outros!$B$4,"")</f>
        <v>8.6500311933333318</v>
      </c>
      <c r="P18" s="8">
        <f t="shared" si="2"/>
        <v>60.150343126666662</v>
      </c>
    </row>
    <row r="19" spans="1:16">
      <c r="A19" s="216">
        <v>46066</v>
      </c>
      <c r="B19" s="217" t="str">
        <f t="shared" si="0"/>
        <v>Fev/26</v>
      </c>
      <c r="C19" s="5" t="s">
        <v>124</v>
      </c>
      <c r="D19" s="5" t="s">
        <v>113</v>
      </c>
      <c r="E19" s="5" t="s">
        <v>18</v>
      </c>
      <c r="F19" s="6">
        <v>164.1</v>
      </c>
      <c r="G19" s="92">
        <v>0.33194444444444443</v>
      </c>
      <c r="H19" s="91">
        <v>0</v>
      </c>
      <c r="I19" s="7">
        <v>5</v>
      </c>
      <c r="J19" s="4">
        <f>IFERROR($F19/1000*VLOOKUP($E19,Filamentos!A$2:H$96,3,FALSE),"")</f>
        <v>14.1126</v>
      </c>
      <c r="K19" s="4">
        <f>IFERROR(G19*24*VLOOKUP(D19,Impressoras!A$2:G$100,6,FALSE)*Outros!$B$2,"")</f>
        <v>1.4339999999999999</v>
      </c>
      <c r="L19" s="4">
        <f>IFERROR(G19*24*VLOOKUP(D19,Impressoras!A$2:G$100,7,FALSE),"")</f>
        <v>4.6013793666666665</v>
      </c>
      <c r="M19" s="86">
        <f t="shared" si="1"/>
        <v>20.303686988928213</v>
      </c>
      <c r="N19" s="4">
        <f>IFERROR(H19*24*Outros!$B$3,"")</f>
        <v>0</v>
      </c>
      <c r="O19" s="4">
        <f>IFERROR(($I19+$J19+$K19+$L19+$N19)*Outros!$B$4,"")</f>
        <v>2.5147979366666671</v>
      </c>
      <c r="P19" s="8">
        <f t="shared" si="2"/>
        <v>22.662777303333336</v>
      </c>
    </row>
    <row r="20" spans="1:16">
      <c r="A20" s="216">
        <v>46067</v>
      </c>
      <c r="B20" s="217" t="str">
        <f t="shared" si="0"/>
        <v>Fev/26</v>
      </c>
      <c r="C20" s="5" t="s">
        <v>125</v>
      </c>
      <c r="D20" s="5" t="s">
        <v>113</v>
      </c>
      <c r="E20" s="5" t="s">
        <v>111</v>
      </c>
      <c r="F20" s="6">
        <v>5</v>
      </c>
      <c r="G20" s="92">
        <v>6.9444444444444441E-3</v>
      </c>
      <c r="H20" s="91">
        <v>3.472222222222222E-3</v>
      </c>
      <c r="I20" s="7">
        <v>0.28000000000000003</v>
      </c>
      <c r="J20" s="4">
        <f>IFERROR($F20/1000*VLOOKUP($E20,Filamentos!A$2:H$96,3,FALSE),"")</f>
        <v>0.5</v>
      </c>
      <c r="K20" s="4">
        <f>IFERROR(G20*24*VLOOKUP(D20,Impressoras!A$2:G$100,6,FALSE)*Outros!$B$2,"")</f>
        <v>2.9999999999999995E-2</v>
      </c>
      <c r="L20" s="4">
        <f>IFERROR(G20*24*VLOOKUP(D20,Impressoras!A$2:G$100,7,FALSE),"")</f>
        <v>9.626316666666665E-2</v>
      </c>
      <c r="M20" s="86">
        <f t="shared" si="1"/>
        <v>5.892859371051717</v>
      </c>
      <c r="N20" s="4">
        <f>IFERROR(H20*24*Outros!$B$3,"")</f>
        <v>0.83333333333333326</v>
      </c>
      <c r="O20" s="4">
        <f>IFERROR(($I20+$J20+$K20+$L20+$N20)*Outros!$B$4,"")</f>
        <v>0.17395965000000002</v>
      </c>
      <c r="P20" s="8">
        <f t="shared" si="2"/>
        <v>1.63355615</v>
      </c>
    </row>
    <row r="21" spans="1:16">
      <c r="A21" s="216">
        <v>46068</v>
      </c>
      <c r="B21" s="217" t="str">
        <f t="shared" si="0"/>
        <v>Fev/26</v>
      </c>
      <c r="C21" s="5" t="s">
        <v>126</v>
      </c>
      <c r="D21" s="5" t="s">
        <v>113</v>
      </c>
      <c r="E21" s="5" t="s">
        <v>111</v>
      </c>
      <c r="F21" s="6">
        <v>5.75</v>
      </c>
      <c r="G21" s="92">
        <v>2.1087962962962965E-2</v>
      </c>
      <c r="H21" s="91">
        <v>3.4722222222222224E-4</v>
      </c>
      <c r="I21" s="7">
        <v>0.28000000000000003</v>
      </c>
      <c r="J21" s="4">
        <f>IFERROR($F21/1000*VLOOKUP($E21,Filamentos!A$2:H$96,3,FALSE),"")</f>
        <v>0.57499999999999996</v>
      </c>
      <c r="K21" s="4">
        <f>IFERROR(G21*24*VLOOKUP(D21,Impressoras!A$2:G$100,6,FALSE)*Outros!$B$2,"")</f>
        <v>9.11E-2</v>
      </c>
      <c r="L21" s="4">
        <f>IFERROR(G21*24*VLOOKUP(D21,Impressoras!A$2:G$100,7,FALSE),"")</f>
        <v>0.29231914944444448</v>
      </c>
      <c r="M21" s="86">
        <f t="shared" si="1"/>
        <v>24.90094932688924</v>
      </c>
      <c r="N21" s="4">
        <f>IFERROR(H21*24*Outros!$B$3,"")</f>
        <v>8.3333333333333329E-2</v>
      </c>
      <c r="O21" s="4">
        <f>IFERROR(($I21+$J21+$K21+$L21+$N21)*Outros!$B$4,"")</f>
        <v>0.13217524827777777</v>
      </c>
      <c r="P21" s="8">
        <f t="shared" si="2"/>
        <v>1.1739277310555556</v>
      </c>
    </row>
    <row r="22" spans="1:16">
      <c r="A22" s="216">
        <v>46069</v>
      </c>
      <c r="B22" s="217" t="str">
        <f t="shared" si="0"/>
        <v>Fev/26</v>
      </c>
      <c r="C22" s="5" t="s">
        <v>127</v>
      </c>
      <c r="D22" s="5" t="s">
        <v>113</v>
      </c>
      <c r="E22" s="5" t="s">
        <v>110</v>
      </c>
      <c r="F22" s="6">
        <v>354.16</v>
      </c>
      <c r="G22" s="92">
        <v>0.4777777777777778</v>
      </c>
      <c r="H22" s="91">
        <v>2.0833333333333332E-2</v>
      </c>
      <c r="I22" s="7">
        <v>26.5</v>
      </c>
      <c r="J22" s="4">
        <f>IFERROR($F22/1000*VLOOKUP($E22,Filamentos!A$2:H$96,3,FALSE),"")</f>
        <v>27.624480000000002</v>
      </c>
      <c r="K22" s="4">
        <f>IFERROR(G22*24*VLOOKUP(D22,Impressoras!A$2:G$100,6,FALSE)*Outros!$B$2,"")</f>
        <v>2.0640000000000001</v>
      </c>
      <c r="L22" s="4">
        <f>IFERROR(G22*24*VLOOKUP(D22,Impressoras!A$2:G$100,7,FALSE),"")</f>
        <v>6.6229058666666658</v>
      </c>
      <c r="M22" s="86">
        <f t="shared" si="1"/>
        <v>13.771175337433604</v>
      </c>
      <c r="N22" s="4">
        <f>IFERROR(H22*24*Outros!$B$3,"")</f>
        <v>5</v>
      </c>
      <c r="O22" s="4">
        <f>IFERROR(($I22+$J22+$K22+$L22+$N22)*Outros!$B$4,"")</f>
        <v>6.7811385866666676</v>
      </c>
      <c r="P22" s="8">
        <f t="shared" si="2"/>
        <v>48.09252445333334</v>
      </c>
    </row>
    <row r="23" spans="1:16">
      <c r="A23" s="216">
        <v>46070</v>
      </c>
      <c r="B23" s="217" t="str">
        <f t="shared" si="0"/>
        <v>Fev/26</v>
      </c>
      <c r="C23" s="5" t="s">
        <v>128</v>
      </c>
      <c r="D23" s="5" t="s">
        <v>113</v>
      </c>
      <c r="E23" s="5" t="s">
        <v>111</v>
      </c>
      <c r="F23" s="6">
        <v>177.83</v>
      </c>
      <c r="G23" s="92">
        <v>0.41597222222222224</v>
      </c>
      <c r="H23" s="91">
        <v>2.0833333333333332E-2</v>
      </c>
      <c r="I23" s="7">
        <v>0</v>
      </c>
      <c r="J23" s="4">
        <f>IFERROR($F23/1000*VLOOKUP($E23,Filamentos!A$2:H$96,3,FALSE),"")</f>
        <v>17.783000000000001</v>
      </c>
      <c r="K23" s="4">
        <f>IFERROR(G23*24*VLOOKUP(D23,Impressoras!A$2:G$100,6,FALSE)*Outros!$B$2,"")</f>
        <v>1.7969999999999999</v>
      </c>
      <c r="L23" s="4">
        <f>IFERROR(G23*24*VLOOKUP(D23,Impressoras!A$2:G$100,7,FALSE),"")</f>
        <v>5.7661636833333336</v>
      </c>
      <c r="M23" s="86">
        <f t="shared" si="1"/>
        <v>17.273903349198203</v>
      </c>
      <c r="N23" s="4">
        <f>IFERROR(H23*24*Outros!$B$3,"")</f>
        <v>5</v>
      </c>
      <c r="O23" s="4">
        <f>IFERROR(($I23+$J23+$K23+$L23+$N23)*Outros!$B$4,"")</f>
        <v>3.0346163683333338</v>
      </c>
      <c r="P23" s="8">
        <f t="shared" si="2"/>
        <v>33.380780051666669</v>
      </c>
    </row>
    <row r="24" spans="1:16">
      <c r="A24" s="216">
        <v>46071</v>
      </c>
      <c r="B24" s="217" t="str">
        <f t="shared" si="0"/>
        <v>Fev/26</v>
      </c>
      <c r="C24" s="5" t="s">
        <v>131</v>
      </c>
      <c r="D24" s="5" t="s">
        <v>113</v>
      </c>
      <c r="E24" s="5" t="s">
        <v>111</v>
      </c>
      <c r="F24" s="6">
        <v>73.900000000000006</v>
      </c>
      <c r="G24" s="92">
        <v>0.24305555555555555</v>
      </c>
      <c r="H24" s="91">
        <v>0</v>
      </c>
      <c r="I24" s="7">
        <v>0</v>
      </c>
      <c r="J24" s="4">
        <f>IFERROR($F24/1000*VLOOKUP($E24,Filamentos!A$2:H$96,3,FALSE),"")</f>
        <v>7.3900000000000006</v>
      </c>
      <c r="K24" s="4">
        <f>IFERROR(G24*24*VLOOKUP(D24,Impressoras!A$2:G$100,6,FALSE)*Outros!$B$2,"")</f>
        <v>1.0499999999999998</v>
      </c>
      <c r="L24" s="4">
        <f>IFERROR(G24*24*VLOOKUP(D24,Impressoras!A$2:G$100,7,FALSE),"")</f>
        <v>3.3692108333333328</v>
      </c>
      <c r="M24" s="86">
        <f t="shared" si="1"/>
        <v>25.936694522790411</v>
      </c>
      <c r="N24" s="4">
        <f>IFERROR(H24*24*Outros!$B$3,"")</f>
        <v>0</v>
      </c>
      <c r="O24" s="4">
        <f>IFERROR(($I24+$J24+$K24+$L24+$N24)*Outros!$B$4,"")</f>
        <v>1.1809210833333335</v>
      </c>
      <c r="P24" s="8">
        <f t="shared" si="2"/>
        <v>12.990131916666668</v>
      </c>
    </row>
    <row r="25" spans="1:16">
      <c r="A25" s="216">
        <v>46072</v>
      </c>
      <c r="B25" s="217" t="str">
        <f t="shared" si="0"/>
        <v>Fev/26</v>
      </c>
      <c r="C25" s="5" t="s">
        <v>146</v>
      </c>
      <c r="D25" s="5" t="s">
        <v>113</v>
      </c>
      <c r="E25" s="5" t="s">
        <v>111</v>
      </c>
      <c r="F25" s="6">
        <v>208.06</v>
      </c>
      <c r="G25" s="92">
        <v>0.49375000000000002</v>
      </c>
      <c r="H25" s="91">
        <v>0</v>
      </c>
      <c r="I25" s="7">
        <v>0</v>
      </c>
      <c r="J25" s="4">
        <f>IFERROR($F25/1000*VLOOKUP($E25,Filamentos!A$2:H$96,3,FALSE),"")</f>
        <v>20.806000000000001</v>
      </c>
      <c r="K25" s="4">
        <f>IFERROR(G25*24*VLOOKUP(D25,Impressoras!A$2:G$100,6,FALSE)*Outros!$B$2,"")</f>
        <v>2.133</v>
      </c>
      <c r="L25" s="4">
        <f>IFERROR(G25*24*VLOOKUP(D25,Impressoras!A$2:G$100,7,FALSE),"")</f>
        <v>6.8443111500000002</v>
      </c>
      <c r="M25" s="86">
        <f t="shared" si="1"/>
        <v>20.891233396171753</v>
      </c>
      <c r="N25" s="4">
        <f>IFERROR(H25*24*Outros!$B$3,"")</f>
        <v>0</v>
      </c>
      <c r="O25" s="4">
        <f>IFERROR(($I25+$J25+$K25+$L25+$N25)*Outros!$B$4,"")</f>
        <v>2.978331115</v>
      </c>
      <c r="P25" s="8">
        <f t="shared" si="2"/>
        <v>32.761642264999999</v>
      </c>
    </row>
    <row r="26" spans="1:16">
      <c r="A26" s="216">
        <v>46099</v>
      </c>
      <c r="B26" s="217" t="str">
        <f t="shared" si="0"/>
        <v>Mar/26</v>
      </c>
      <c r="C26" s="5" t="s">
        <v>139</v>
      </c>
      <c r="D26" s="5" t="s">
        <v>113</v>
      </c>
      <c r="E26" s="5" t="s">
        <v>18</v>
      </c>
      <c r="F26" s="6">
        <v>20.02</v>
      </c>
      <c r="G26" s="92">
        <v>6.1111111111111109E-2</v>
      </c>
      <c r="H26" s="91">
        <v>4.1666666666666664E-2</v>
      </c>
      <c r="I26" s="7">
        <v>0</v>
      </c>
      <c r="J26" s="4">
        <f>IFERROR($F26/1000*VLOOKUP($E26,Filamentos!A$2:H$96,3,FALSE),"")</f>
        <v>1.7217199999999999</v>
      </c>
      <c r="K26" s="4">
        <f>IFERROR(G26*24*VLOOKUP(D26,Impressoras!A$2:G$100,6,FALSE)*Outros!$B$2,"")</f>
        <v>0.26399999999999996</v>
      </c>
      <c r="L26" s="4">
        <f>IFERROR(G26*24*VLOOKUP(D26,Impressoras!A$2:G$100,7,FALSE),"")</f>
        <v>0.84711586666666649</v>
      </c>
      <c r="M26" s="86">
        <f t="shared" si="1"/>
        <v>6.0010534018726469</v>
      </c>
      <c r="N26" s="4">
        <f>IFERROR(H26*24*Outros!$B$3,"")</f>
        <v>10</v>
      </c>
      <c r="O26" s="4">
        <f>IFERROR(($I26+$J26+$K26+$L26+$N26)*Outros!$B$4,"")</f>
        <v>1.2832835866666668</v>
      </c>
      <c r="P26" s="8">
        <f t="shared" si="2"/>
        <v>14.116119453333333</v>
      </c>
    </row>
    <row r="27" spans="1:16">
      <c r="A27" s="216">
        <v>46074</v>
      </c>
      <c r="B27" s="217" t="str">
        <f t="shared" si="0"/>
        <v>Fev/26</v>
      </c>
      <c r="C27" s="5" t="s">
        <v>126</v>
      </c>
      <c r="D27" s="5" t="s">
        <v>113</v>
      </c>
      <c r="E27" s="5" t="s">
        <v>111</v>
      </c>
      <c r="F27" s="6">
        <v>83.97</v>
      </c>
      <c r="G27" s="92">
        <v>0.25416666666666665</v>
      </c>
      <c r="H27" s="91">
        <v>8.2638888888888887E-2</v>
      </c>
      <c r="I27" s="7">
        <v>13.78</v>
      </c>
      <c r="J27" s="4">
        <f>IFERROR($F27/1000*VLOOKUP($E27,Filamentos!A$2:H$96,3,FALSE),"")</f>
        <v>8.3970000000000002</v>
      </c>
      <c r="K27" s="4">
        <f>IFERROR(G27*24*VLOOKUP(D27,Impressoras!A$2:G$100,6,FALSE)*Outros!$B$2,"")</f>
        <v>1.0979999999999999</v>
      </c>
      <c r="L27" s="4">
        <f>IFERROR(G27*24*VLOOKUP(D27,Impressoras!A$2:G$100,7,FALSE),"")</f>
        <v>3.5232318999999994</v>
      </c>
      <c r="M27" s="86">
        <f t="shared" si="1"/>
        <v>9.3915981114104685</v>
      </c>
      <c r="N27" s="4">
        <f>IFERROR(H27*24*Outros!$B$3,"")</f>
        <v>19.833333333333336</v>
      </c>
      <c r="O27" s="4">
        <f>IFERROR(($I27+$J27+$K27+$L27+$N27)*Outros!$B$4,"")</f>
        <v>4.6631565233333339</v>
      </c>
      <c r="P27" s="8">
        <f t="shared" si="2"/>
        <v>37.514721756666674</v>
      </c>
    </row>
    <row r="28" spans="1:16" ht="16" customHeight="1">
      <c r="A28" s="224">
        <v>46103</v>
      </c>
      <c r="B28" s="225" t="str">
        <f t="shared" ref="B28:B33" si="3">IF($A28="","",PROPER(TEXT($A28,"mmm")) &amp; "/" &amp; TEXT($A28,"aa"))</f>
        <v>Mar/26</v>
      </c>
      <c r="C28" s="5" t="s">
        <v>142</v>
      </c>
      <c r="D28" s="5" t="s">
        <v>113</v>
      </c>
      <c r="E28" s="5" t="s">
        <v>111</v>
      </c>
      <c r="F28" s="6">
        <f>141+87+9</f>
        <v>237</v>
      </c>
      <c r="G28" s="92">
        <v>0.2638888888888889</v>
      </c>
      <c r="H28" s="91">
        <v>6.9444444444444447E-4</v>
      </c>
      <c r="I28" s="7">
        <v>0</v>
      </c>
      <c r="J28" s="7">
        <f>IFERROR($F28/1000*VLOOKUP($E28,Filamentos!A$2:H$96,3,FALSE),"")</f>
        <v>23.7</v>
      </c>
      <c r="K28" s="4">
        <f>IFERROR(G28*24*VLOOKUP(D28,Impressoras!A$2:G$100,6,FALSE)*Outros!$B$2,"")</f>
        <v>1.1400000000000001</v>
      </c>
      <c r="L28" s="4">
        <f>IFERROR(G28*24*VLOOKUP(D28,Impressoras!A$2:G$100,7,FALSE),"")</f>
        <v>3.6580003333333333</v>
      </c>
      <c r="M28" s="86">
        <f t="shared" ref="M28:M33" si="4">IFERROR(L28*100/P28,"")</f>
        <v>11.601233143524215</v>
      </c>
      <c r="N28" s="4">
        <f>IFERROR(H28*24*Outros!$B$3,"")</f>
        <v>0.16666666666666666</v>
      </c>
      <c r="O28" s="7">
        <f>IFERROR(($I28+$J28+$K28+$L28+$N28)*Outros!$B$4,"")</f>
        <v>2.8664667000000001</v>
      </c>
      <c r="P28" s="8">
        <f t="shared" ref="P28:P33" si="5">SUM(J28:L28)+SUM(N28:O28)</f>
        <v>31.531133700000002</v>
      </c>
    </row>
    <row r="29" spans="1:16" ht="18" customHeight="1">
      <c r="A29" s="227">
        <v>46103</v>
      </c>
      <c r="B29" s="228" t="str">
        <f t="shared" si="3"/>
        <v>Mar/26</v>
      </c>
      <c r="C29" s="229" t="s">
        <v>144</v>
      </c>
      <c r="D29" s="229" t="s">
        <v>113</v>
      </c>
      <c r="E29" s="229" t="s">
        <v>111</v>
      </c>
      <c r="F29" s="230">
        <v>209</v>
      </c>
      <c r="G29" s="231">
        <v>0.38055555555555554</v>
      </c>
      <c r="H29" s="232">
        <v>6.9444444444444447E-4</v>
      </c>
      <c r="I29" s="233">
        <v>0</v>
      </c>
      <c r="J29" s="233">
        <f>IFERROR($F29/1000*VLOOKUP($E29,Filamentos!A$2:H$96,3,FALSE),"")</f>
        <v>20.9</v>
      </c>
      <c r="K29" s="4">
        <f>IFERROR(G29*24*VLOOKUP(D29,Impressoras!A$2:G$100,6,FALSE)*Outros!$B$2,"")</f>
        <v>1.6439999999999999</v>
      </c>
      <c r="L29" s="4">
        <f>IFERROR(G29*24*VLOOKUP(D29,Impressoras!A$2:G$100,7,FALSE),"")</f>
        <v>5.2752215333333323</v>
      </c>
      <c r="M29" s="86">
        <f t="shared" si="4"/>
        <v>17.135979051734864</v>
      </c>
      <c r="N29" s="4">
        <f>IFERROR(H29*24*Outros!$B$3,"")</f>
        <v>0.16666666666666666</v>
      </c>
      <c r="O29" s="233">
        <f>IFERROR(($I29+$J29+$K29+$L29+$N29)*Outros!$B$4,"")</f>
        <v>2.79858882</v>
      </c>
      <c r="P29" s="234">
        <f t="shared" si="5"/>
        <v>30.784477019999997</v>
      </c>
    </row>
    <row r="30" spans="1:16">
      <c r="A30" s="227">
        <v>46103</v>
      </c>
      <c r="B30" s="228" t="str">
        <f t="shared" si="3"/>
        <v>Mar/26</v>
      </c>
      <c r="C30" s="229" t="s">
        <v>145</v>
      </c>
      <c r="D30" s="142" t="s">
        <v>113</v>
      </c>
      <c r="E30" s="229" t="s">
        <v>110</v>
      </c>
      <c r="F30" s="230">
        <f>52.12+19.53+197.6</f>
        <v>269.25</v>
      </c>
      <c r="G30" s="236">
        <v>0.81874999999999998</v>
      </c>
      <c r="H30" s="232">
        <v>0</v>
      </c>
      <c r="I30" s="233">
        <v>0</v>
      </c>
      <c r="J30" s="233">
        <f>IFERROR($F30/1000*VLOOKUP($E30,Filamentos!A$2:H$96,3,FALSE),"")</f>
        <v>21.0015</v>
      </c>
      <c r="K30" s="4">
        <f>IFERROR(G30*24*VLOOKUP(D30,Impressoras!A$2:G$100,6,FALSE)*Outros!$B$2,"")</f>
        <v>3.5369999999999995</v>
      </c>
      <c r="L30" s="4">
        <f>IFERROR(G30*24*VLOOKUP(D30,Impressoras!A$2:G$100,7,FALSE),"")</f>
        <v>11.349427349999999</v>
      </c>
      <c r="M30" s="86">
        <f t="shared" si="4"/>
        <v>28.749671516688263</v>
      </c>
      <c r="N30" s="4">
        <f>IFERROR(H30*24*Outros!$B$3,"")</f>
        <v>0</v>
      </c>
      <c r="O30" s="233">
        <f>IFERROR(($I30+$J30+$K30+$L30+$N30)*Outros!$B$4,"")</f>
        <v>3.5887927350000002</v>
      </c>
      <c r="P30" s="234">
        <f t="shared" si="5"/>
        <v>39.476720084999997</v>
      </c>
    </row>
    <row r="31" spans="1:16">
      <c r="A31" s="227">
        <v>46105</v>
      </c>
      <c r="B31" s="228" t="str">
        <f t="shared" si="3"/>
        <v>Mar/26</v>
      </c>
      <c r="C31" s="142" t="s">
        <v>147</v>
      </c>
      <c r="D31" s="142" t="s">
        <v>113</v>
      </c>
      <c r="E31" s="229" t="s">
        <v>110</v>
      </c>
      <c r="F31" s="230">
        <v>27.4</v>
      </c>
      <c r="G31" s="231">
        <v>6.0416666666666667E-2</v>
      </c>
      <c r="H31" s="232">
        <v>4.1666666666666664E-2</v>
      </c>
      <c r="I31" s="233">
        <v>0</v>
      </c>
      <c r="J31" s="233">
        <f>IFERROR($F31/1000*VLOOKUP($E31,Filamentos!A$2:H$96,3,FALSE),"")</f>
        <v>2.1372</v>
      </c>
      <c r="K31" s="4">
        <f>IFERROR(G31*24*VLOOKUP(D31,Impressoras!A$2:G$100,6,FALSE)*Outros!$B$2,"")</f>
        <v>0.26100000000000001</v>
      </c>
      <c r="L31" s="4">
        <f>IFERROR(G31*24*VLOOKUP(D31,Impressoras!A$2:G$100,7,FALSE),"")</f>
        <v>0.83748954999999992</v>
      </c>
      <c r="M31" s="86">
        <f t="shared" si="4"/>
        <v>5.7522816131905747</v>
      </c>
      <c r="N31" s="4">
        <f>IFERROR(H31*24*Outros!$B$3,"")</f>
        <v>10</v>
      </c>
      <c r="O31" s="233">
        <f>IFERROR(($I31+$J31+$K31+$L31+$N31)*Outros!$B$4,"")</f>
        <v>1.323568955</v>
      </c>
      <c r="P31" s="234">
        <f t="shared" si="5"/>
        <v>14.559258505000001</v>
      </c>
    </row>
    <row r="32" spans="1:16">
      <c r="A32" s="227">
        <v>46119</v>
      </c>
      <c r="B32" s="228" t="str">
        <f t="shared" si="3"/>
        <v>Abr/26</v>
      </c>
      <c r="C32" s="142" t="s">
        <v>149</v>
      </c>
      <c r="D32" s="142" t="s">
        <v>113</v>
      </c>
      <c r="E32" s="229" t="s">
        <v>89</v>
      </c>
      <c r="F32" s="230">
        <v>256</v>
      </c>
      <c r="G32" s="231">
        <v>0.29791666666666666</v>
      </c>
      <c r="H32" s="232">
        <v>0</v>
      </c>
      <c r="I32" s="233">
        <v>0</v>
      </c>
      <c r="J32" s="233">
        <f>IFERROR($F32/1000*VLOOKUP($E32,Filamentos!A$2:H$96,3,FALSE),"")</f>
        <v>22.016000000000002</v>
      </c>
      <c r="K32" s="4">
        <f>IFERROR(G32*24*VLOOKUP(D32,Impressoras!A$2:G$100,6,FALSE)*Outros!$B$2,"")</f>
        <v>1.2869999999999999</v>
      </c>
      <c r="L32" s="4">
        <f>IFERROR(G32*24*VLOOKUP(D32,Impressoras!A$2:G$100,7,FALSE),"")</f>
        <v>4.1296898500000001</v>
      </c>
      <c r="M32" s="86">
        <f t="shared" si="4"/>
        <v>13.68536414229901</v>
      </c>
      <c r="N32" s="4">
        <f>IFERROR(H32*24*Outros!$B$3,"")</f>
        <v>0</v>
      </c>
      <c r="O32" s="233">
        <f>IFERROR(($I32+$J32+$K32+$L32+$N32)*Outros!$B$4,"")</f>
        <v>2.7432689850000003</v>
      </c>
      <c r="P32" s="234">
        <f t="shared" si="5"/>
        <v>30.175958835000003</v>
      </c>
    </row>
    <row r="33" spans="1:16">
      <c r="A33" s="227">
        <v>46119</v>
      </c>
      <c r="B33" s="228" t="str">
        <f t="shared" si="3"/>
        <v>Abr/26</v>
      </c>
      <c r="C33" s="142" t="s">
        <v>151</v>
      </c>
      <c r="D33" s="142" t="s">
        <v>113</v>
      </c>
      <c r="E33" s="229" t="s">
        <v>89</v>
      </c>
      <c r="F33" s="230">
        <v>527</v>
      </c>
      <c r="G33" s="231">
        <v>0.83819444444444446</v>
      </c>
      <c r="H33" s="232">
        <v>0</v>
      </c>
      <c r="I33" s="233">
        <v>0</v>
      </c>
      <c r="J33" s="233">
        <f>IFERROR($F33/1000*VLOOKUP($E33,Filamentos!A$2:H$96,3,FALSE),"")</f>
        <v>45.322000000000003</v>
      </c>
      <c r="K33" s="233">
        <f>IFERROR(G33*24*VLOOKUP(D33,Impressoras!A$2:G$100,6,FALSE)*Outros!$B$2,"")</f>
        <v>3.621</v>
      </c>
      <c r="L33" s="233">
        <f>IFERROR(G33*24*VLOOKUP(D33,Impressoras!A$2:G$100,7,FALSE),"")</f>
        <v>11.618964216666665</v>
      </c>
      <c r="M33" s="241">
        <f t="shared" si="4"/>
        <v>17.441136328793949</v>
      </c>
      <c r="N33" s="233">
        <f>IFERROR(H33*24*Outros!$B$3,"")</f>
        <v>0</v>
      </c>
      <c r="O33" s="233">
        <f>IFERROR(($I33+$J33+$K33+$L33+$N33)*Outros!$B$4,"")</f>
        <v>6.0561964216666668</v>
      </c>
      <c r="P33" s="234">
        <f t="shared" si="5"/>
        <v>66.618160638333336</v>
      </c>
    </row>
    <row r="34" spans="1:16">
      <c r="A34" s="227">
        <v>46124</v>
      </c>
      <c r="B34" s="228" t="str">
        <f t="shared" ref="B34:B39" si="6">IF($A34="","",PROPER(TEXT($A34,"mmm")) &amp; "/" &amp; TEXT($A34,"aa"))</f>
        <v>Abr/26</v>
      </c>
      <c r="C34" s="142" t="s">
        <v>152</v>
      </c>
      <c r="D34" s="142" t="s">
        <v>113</v>
      </c>
      <c r="E34" s="229" t="s">
        <v>110</v>
      </c>
      <c r="F34" s="230">
        <v>260</v>
      </c>
      <c r="G34" s="231">
        <v>0.30972222222222223</v>
      </c>
      <c r="H34" s="232">
        <v>0</v>
      </c>
      <c r="I34" s="233">
        <v>0</v>
      </c>
      <c r="J34" s="233">
        <f>IFERROR($F34/1000*VLOOKUP($E34,Filamentos!A$2:H$96,3,FALSE),"")</f>
        <v>20.28</v>
      </c>
      <c r="K34" s="233">
        <f>IFERROR(G34*24*VLOOKUP(D34,Impressoras!A$2:G$100,6,FALSE)*Outros!$B$2,"")</f>
        <v>1.3379999999999999</v>
      </c>
      <c r="L34" s="233">
        <f>IFERROR(G34*24*VLOOKUP(D34,Impressoras!A$2:G$100,7,FALSE),"")</f>
        <v>4.2933372333333333</v>
      </c>
      <c r="M34" s="242">
        <f t="shared" ref="M34:M39" si="7">IFERROR(L34*100/P34,"")</f>
        <v>15.063035200915206</v>
      </c>
      <c r="N34" s="233">
        <f>IFERROR(H34*24*Outros!$B$3,"")</f>
        <v>0</v>
      </c>
      <c r="O34" s="233">
        <f>IFERROR(($I34+$J34+$K34+$L34+$N34)*Outros!$B$4,"")</f>
        <v>2.5911337233333338</v>
      </c>
      <c r="P34" s="234">
        <f t="shared" ref="P34:P39" si="8">SUM(J34:L34)+SUM(N34:O34)</f>
        <v>28.50247095666667</v>
      </c>
    </row>
    <row r="35" spans="1:16">
      <c r="A35" s="227">
        <v>46125</v>
      </c>
      <c r="B35" s="228" t="str">
        <f t="shared" si="6"/>
        <v>Abr/26</v>
      </c>
      <c r="C35" s="243" t="s">
        <v>155</v>
      </c>
      <c r="D35" s="243" t="s">
        <v>113</v>
      </c>
      <c r="E35" s="229" t="s">
        <v>18</v>
      </c>
      <c r="F35" s="230">
        <v>61.94</v>
      </c>
      <c r="G35" s="231">
        <v>5.6250000000000001E-2</v>
      </c>
      <c r="H35" s="232">
        <v>0</v>
      </c>
      <c r="I35" s="233">
        <v>0</v>
      </c>
      <c r="J35" s="233">
        <f>IFERROR($F35/1000*VLOOKUP($E35,Filamentos!A$2:H$96,3,FALSE),"")</f>
        <v>5.3268399999999998</v>
      </c>
      <c r="K35" s="233">
        <f>IFERROR(G35*24*VLOOKUP(D35,Impressoras!A$2:G$100,6,FALSE)*Outros!$B$2,"")</f>
        <v>0.24299999999999999</v>
      </c>
      <c r="L35" s="233">
        <f>IFERROR(G35*24*VLOOKUP(D35,Impressoras!A$2:G$100,7,FALSE),"")</f>
        <v>0.77973165</v>
      </c>
      <c r="M35" s="242">
        <f t="shared" si="7"/>
        <v>11.163697232166118</v>
      </c>
      <c r="N35" s="233">
        <f>IFERROR(H35*24*Outros!$B$3,"")</f>
        <v>0</v>
      </c>
      <c r="O35" s="233">
        <f>IFERROR(($I35+$J35+$K35+$L35+$N35)*Outros!$B$4,"")</f>
        <v>0.63495716499999999</v>
      </c>
      <c r="P35" s="234">
        <f t="shared" si="8"/>
        <v>6.984528815</v>
      </c>
    </row>
    <row r="36" spans="1:16">
      <c r="A36" s="227">
        <v>46125</v>
      </c>
      <c r="B36" s="228" t="str">
        <f t="shared" si="6"/>
        <v>Abr/26</v>
      </c>
      <c r="C36" s="142" t="s">
        <v>156</v>
      </c>
      <c r="D36" s="142" t="s">
        <v>113</v>
      </c>
      <c r="E36" s="229" t="s">
        <v>110</v>
      </c>
      <c r="F36" s="230">
        <v>19.62</v>
      </c>
      <c r="G36" s="231">
        <v>4.583333333333333E-2</v>
      </c>
      <c r="H36" s="232">
        <v>2.0833333333333332E-2</v>
      </c>
      <c r="I36" s="233">
        <v>7.0000000000000007E-2</v>
      </c>
      <c r="J36" s="233">
        <f>IFERROR($F36/1000*VLOOKUP($E36,Filamentos!A$2:H$96,3,FALSE),"")</f>
        <v>1.5303600000000002</v>
      </c>
      <c r="K36" s="233">
        <f>IFERROR(G36*24*VLOOKUP(D36,Impressoras!A$2:G$100,6,FALSE)*Outros!$B$2,"")</f>
        <v>0.19799999999999998</v>
      </c>
      <c r="L36" s="233">
        <f>IFERROR(G36*24*VLOOKUP(D36,Impressoras!A$2:G$100,7,FALSE),"")</f>
        <v>0.63533689999999987</v>
      </c>
      <c r="M36" s="242">
        <f t="shared" si="7"/>
        <v>7.8368284378431383</v>
      </c>
      <c r="N36" s="233">
        <f>IFERROR(H36*24*Outros!$B$3,"")</f>
        <v>5</v>
      </c>
      <c r="O36" s="233">
        <f>IFERROR(($I36+$J36+$K36+$L36+$N36)*Outros!$B$4,"")</f>
        <v>0.74336969000000008</v>
      </c>
      <c r="P36" s="234">
        <f t="shared" si="8"/>
        <v>8.1070665899999987</v>
      </c>
    </row>
    <row r="37" spans="1:16">
      <c r="A37" s="227">
        <v>46125</v>
      </c>
      <c r="B37" s="228" t="str">
        <f t="shared" si="6"/>
        <v>Abr/26</v>
      </c>
      <c r="C37" s="229" t="s">
        <v>157</v>
      </c>
      <c r="D37" s="229" t="s">
        <v>113</v>
      </c>
      <c r="E37" s="229" t="s">
        <v>110</v>
      </c>
      <c r="F37" s="230">
        <v>206.11</v>
      </c>
      <c r="G37" s="231">
        <v>0.37777777777777777</v>
      </c>
      <c r="H37" s="232">
        <v>2.0833333333333332E-2</v>
      </c>
      <c r="I37" s="233">
        <f>(0.07*13)+(0.07*60)</f>
        <v>5.1100000000000003</v>
      </c>
      <c r="J37" s="233">
        <f>IFERROR($F37/1000*VLOOKUP($E37,Filamentos!A$2:H$96,3,FALSE),"")</f>
        <v>16.07658</v>
      </c>
      <c r="K37" s="233">
        <f>IFERROR(G37*24*VLOOKUP(D37,Impressoras!A$2:G$100,6,FALSE)*Outros!$B$2,"")</f>
        <v>1.6319999999999999</v>
      </c>
      <c r="L37" s="233">
        <f>IFERROR(G37*24*VLOOKUP(D37,Impressoras!A$2:G$100,7,FALSE),"")</f>
        <v>5.236716266666666</v>
      </c>
      <c r="M37" s="242">
        <f t="shared" si="7"/>
        <v>16.757049188206583</v>
      </c>
      <c r="N37" s="233">
        <f>IFERROR(H37*24*Outros!$B$3,"")</f>
        <v>5</v>
      </c>
      <c r="O37" s="233">
        <f>IFERROR(($I37+$J37+$K37+$L37+$N37)*Outros!$B$4,"")</f>
        <v>3.3055296266666669</v>
      </c>
      <c r="P37" s="234">
        <f t="shared" si="8"/>
        <v>31.250825893333335</v>
      </c>
    </row>
    <row r="38" spans="1:16">
      <c r="A38" s="227">
        <v>46125</v>
      </c>
      <c r="B38" s="228" t="str">
        <f t="shared" si="6"/>
        <v>Abr/26</v>
      </c>
      <c r="C38" s="229" t="s">
        <v>158</v>
      </c>
      <c r="D38" s="229" t="s">
        <v>113</v>
      </c>
      <c r="E38" s="229" t="s">
        <v>18</v>
      </c>
      <c r="F38" s="230">
        <v>631.39</v>
      </c>
      <c r="G38" s="231">
        <v>0.66666666666666663</v>
      </c>
      <c r="H38" s="232">
        <v>0</v>
      </c>
      <c r="I38" s="233">
        <v>0</v>
      </c>
      <c r="J38" s="233">
        <f>IFERROR($F38/1000*VLOOKUP($E38,Filamentos!A$2:H$96,3,FALSE),"")</f>
        <v>54.29954</v>
      </c>
      <c r="K38" s="233">
        <f>IFERROR(G38*24*VLOOKUP(D38,Impressoras!A$2:G$100,6,FALSE)*Outros!$B$2,"")</f>
        <v>2.88</v>
      </c>
      <c r="L38" s="233">
        <f>IFERROR(G38*24*VLOOKUP(D38,Impressoras!A$2:G$100,7,FALSE),"")</f>
        <v>9.2412639999999993</v>
      </c>
      <c r="M38" s="242">
        <f t="shared" si="7"/>
        <v>12.648370066265819</v>
      </c>
      <c r="N38" s="233">
        <f>IFERROR(H38*24*Outros!$B$3,"")</f>
        <v>0</v>
      </c>
      <c r="O38" s="233">
        <f>IFERROR(($I38+$J38+$K38+$L38+$N38)*Outros!$B$4,"")</f>
        <v>6.6420804000000011</v>
      </c>
      <c r="P38" s="234">
        <f t="shared" si="8"/>
        <v>73.062884400000002</v>
      </c>
    </row>
    <row r="39" spans="1:16">
      <c r="A39" s="227">
        <v>46127</v>
      </c>
      <c r="B39" s="228" t="str">
        <f t="shared" si="6"/>
        <v>Abr/26</v>
      </c>
      <c r="C39" s="229" t="s">
        <v>159</v>
      </c>
      <c r="D39" s="229" t="s">
        <v>113</v>
      </c>
      <c r="E39" s="229" t="s">
        <v>111</v>
      </c>
      <c r="F39" s="230">
        <v>368</v>
      </c>
      <c r="G39" s="231">
        <v>0.94444444444444442</v>
      </c>
      <c r="H39" s="232">
        <v>2.0833333333333332E-2</v>
      </c>
      <c r="I39" s="233">
        <f>26.5+15</f>
        <v>41.5</v>
      </c>
      <c r="J39" s="233">
        <f>IFERROR($F39/1000*VLOOKUP($E39,Filamentos!A$2:H$96,3,FALSE),"")</f>
        <v>36.799999999999997</v>
      </c>
      <c r="K39" s="233">
        <f>IFERROR(G39*24*VLOOKUP(D39,Impressoras!A$2:G$100,6,FALSE)*Outros!$B$2,"")</f>
        <v>4.0799999999999992</v>
      </c>
      <c r="L39" s="233">
        <f>IFERROR(G39*24*VLOOKUP(D39,Impressoras!A$2:G$100,7,FALSE),"")</f>
        <v>13.091790666666665</v>
      </c>
      <c r="M39" s="242">
        <f t="shared" si="7"/>
        <v>18.968394801094611</v>
      </c>
      <c r="N39" s="233">
        <f>IFERROR(H39*24*Outros!$B$3,"")</f>
        <v>5</v>
      </c>
      <c r="O39" s="233">
        <f>IFERROR(($I39+$J39+$K39+$L39+$N39)*Outros!$B$4,"")</f>
        <v>10.047179066666667</v>
      </c>
      <c r="P39" s="234">
        <f t="shared" si="8"/>
        <v>69.018969733333336</v>
      </c>
    </row>
    <row r="40" spans="1:16">
      <c r="A40" s="227">
        <v>46127</v>
      </c>
      <c r="B40" s="228" t="str">
        <f t="shared" ref="B40:B46" si="9">IF($A40="","",PROPER(TEXT($A40,"mmm")) &amp; "/" &amp; TEXT($A40,"aa"))</f>
        <v>Abr/26</v>
      </c>
      <c r="C40" s="229" t="s">
        <v>161</v>
      </c>
      <c r="D40" s="229" t="s">
        <v>113</v>
      </c>
      <c r="E40" s="229" t="s">
        <v>111</v>
      </c>
      <c r="F40" s="230">
        <f>97+152</f>
        <v>249</v>
      </c>
      <c r="G40" s="231">
        <v>0.51736111111111116</v>
      </c>
      <c r="H40" s="232">
        <v>3.472222222222222E-3</v>
      </c>
      <c r="I40" s="233">
        <v>0.7</v>
      </c>
      <c r="J40" s="233">
        <f>IFERROR($F40/1000*VLOOKUP($E40,Filamentos!A$2:H$96,3,FALSE),"")</f>
        <v>24.9</v>
      </c>
      <c r="K40" s="233">
        <f>IFERROR(G40*24*VLOOKUP(D40,Impressoras!A$2:G$100,6,FALSE)*Outros!$B$2,"")</f>
        <v>2.2349999999999999</v>
      </c>
      <c r="L40" s="233">
        <f>IFERROR(G40*24*VLOOKUP(D40,Impressoras!A$2:G$100,7,FALSE),"")</f>
        <v>7.1716059166666666</v>
      </c>
      <c r="M40" s="242">
        <f t="shared" ref="M40:M46" si="10">IFERROR(L40*100/P40,"")</f>
        <v>18.519828252613099</v>
      </c>
      <c r="N40" s="233">
        <f>IFERROR(H40*24*Outros!$B$3,"")</f>
        <v>0.83333333333333326</v>
      </c>
      <c r="O40" s="233">
        <f>IFERROR(($I40+$J40+$K40+$L40+$N40)*Outros!$B$4,"")</f>
        <v>3.5839939250000001</v>
      </c>
      <c r="P40" s="234">
        <f t="shared" ref="P40:P46" si="11">SUM(J40:L40)+SUM(N40:O40)</f>
        <v>38.723933174999999</v>
      </c>
    </row>
    <row r="41" spans="1:16">
      <c r="A41" s="227">
        <v>46127</v>
      </c>
      <c r="B41" s="228" t="str">
        <f t="shared" si="9"/>
        <v>Abr/26</v>
      </c>
      <c r="C41" s="229" t="s">
        <v>163</v>
      </c>
      <c r="D41" s="229" t="s">
        <v>113</v>
      </c>
      <c r="E41" s="229" t="s">
        <v>111</v>
      </c>
      <c r="F41" s="230">
        <f>147.8+83</f>
        <v>230.8</v>
      </c>
      <c r="G41" s="231">
        <v>0.40625</v>
      </c>
      <c r="H41" s="232">
        <v>3.472222222222222E-3</v>
      </c>
      <c r="I41" s="233">
        <v>0</v>
      </c>
      <c r="J41" s="233">
        <f>IFERROR($F41/1000*VLOOKUP($E41,Filamentos!A$2:H$96,3,FALSE),"")</f>
        <v>23.080000000000002</v>
      </c>
      <c r="K41" s="233">
        <f>IFERROR(G41*24*VLOOKUP(D41,Impressoras!A$2:G$100,6,FALSE)*Outros!$B$2,"")</f>
        <v>1.7549999999999999</v>
      </c>
      <c r="L41" s="233">
        <f>IFERROR(G41*24*VLOOKUP(D41,Impressoras!A$2:G$100,7,FALSE),"")</f>
        <v>5.6313952499999997</v>
      </c>
      <c r="M41" s="242">
        <f t="shared" si="10"/>
        <v>16.356212845879956</v>
      </c>
      <c r="N41" s="233">
        <f>IFERROR(H41*24*Outros!$B$3,"")</f>
        <v>0.83333333333333326</v>
      </c>
      <c r="O41" s="233">
        <f>IFERROR(($I41+$J41+$K41+$L41+$N41)*Outros!$B$4,"")</f>
        <v>3.1299728583333337</v>
      </c>
      <c r="P41" s="234">
        <f t="shared" si="11"/>
        <v>34.429701441666666</v>
      </c>
    </row>
    <row r="42" spans="1:16">
      <c r="A42" s="227">
        <v>46128</v>
      </c>
      <c r="B42" s="228" t="str">
        <f t="shared" si="9"/>
        <v>Abr/26</v>
      </c>
      <c r="C42" s="229" t="s">
        <v>164</v>
      </c>
      <c r="D42" s="229" t="s">
        <v>113</v>
      </c>
      <c r="E42" s="229" t="s">
        <v>111</v>
      </c>
      <c r="F42" s="230">
        <v>71</v>
      </c>
      <c r="G42" s="231">
        <v>0.19444444444444445</v>
      </c>
      <c r="H42" s="232">
        <v>0</v>
      </c>
      <c r="I42" s="233">
        <v>0</v>
      </c>
      <c r="J42" s="233">
        <f>IFERROR($F42/1000*VLOOKUP($E42,Filamentos!A$2:H$96,3,FALSE),"")</f>
        <v>7.1</v>
      </c>
      <c r="K42" s="233">
        <f>IFERROR(G42*24*VLOOKUP(D42,Impressoras!A$2:G$100,6,FALSE)*Outros!$B$2,"")</f>
        <v>0.84000000000000008</v>
      </c>
      <c r="L42" s="233">
        <f>IFERROR(G42*24*VLOOKUP(D42,Impressoras!A$2:G$100,7,FALSE),"")</f>
        <v>2.6953686666666665</v>
      </c>
      <c r="M42" s="242">
        <f t="shared" si="10"/>
        <v>23.039494241464169</v>
      </c>
      <c r="N42" s="233">
        <f>IFERROR(H42*24*Outros!$B$3,"")</f>
        <v>0</v>
      </c>
      <c r="O42" s="233">
        <f>IFERROR(($I42+$J42+$K42+$L42+$N42)*Outros!$B$4,"")</f>
        <v>1.0635368666666667</v>
      </c>
      <c r="P42" s="234">
        <f t="shared" si="11"/>
        <v>11.698905533333333</v>
      </c>
    </row>
    <row r="43" spans="1:16">
      <c r="A43" s="227">
        <v>46130</v>
      </c>
      <c r="B43" s="225" t="str">
        <f t="shared" si="9"/>
        <v>Abr/26</v>
      </c>
      <c r="C43" s="5" t="s">
        <v>168</v>
      </c>
      <c r="D43" s="5" t="s">
        <v>113</v>
      </c>
      <c r="E43" s="5" t="s">
        <v>111</v>
      </c>
      <c r="F43" s="6">
        <v>52</v>
      </c>
      <c r="G43" s="92">
        <v>4.1666666666666664E-2</v>
      </c>
      <c r="H43" s="91">
        <v>0</v>
      </c>
      <c r="I43" s="7">
        <v>7.0000000000000007E-2</v>
      </c>
      <c r="J43" s="7">
        <f>IFERROR($F43/1000*VLOOKUP($E43,Filamentos!A$2:H$96,3,FALSE),"")</f>
        <v>5.2</v>
      </c>
      <c r="K43" s="233">
        <f>IFERROR(G43*24*VLOOKUP(D43,Impressoras!A$2:G$100,6,FALSE)*Outros!$B$2,"")</f>
        <v>0.18</v>
      </c>
      <c r="L43" s="233">
        <f>IFERROR(G43*24*VLOOKUP(D43,Impressoras!A$2:G$100,7,FALSE),"")</f>
        <v>0.57757899999999995</v>
      </c>
      <c r="M43" s="86">
        <f t="shared" si="10"/>
        <v>8.8041057769456916</v>
      </c>
      <c r="N43" s="233">
        <f>IFERROR(H43*24*Outros!$B$3,"")</f>
        <v>0</v>
      </c>
      <c r="O43" s="7">
        <f>IFERROR(($I43+$J43+$K43+$L43+$N43)*Outros!$B$4,"")</f>
        <v>0.60275790000000007</v>
      </c>
      <c r="P43" s="8">
        <f t="shared" si="11"/>
        <v>6.5603369000000002</v>
      </c>
    </row>
    <row r="44" spans="1:16">
      <c r="A44" s="227">
        <v>46130</v>
      </c>
      <c r="B44" s="228" t="str">
        <f t="shared" si="9"/>
        <v>Abr/26</v>
      </c>
      <c r="C44" s="229" t="s">
        <v>170</v>
      </c>
      <c r="D44" s="5" t="s">
        <v>113</v>
      </c>
      <c r="E44" s="5" t="s">
        <v>18</v>
      </c>
      <c r="F44" s="230">
        <v>310</v>
      </c>
      <c r="G44" s="231">
        <v>0.5</v>
      </c>
      <c r="H44" s="232">
        <v>2.0833333333333332E-2</v>
      </c>
      <c r="I44" s="233">
        <v>0.36</v>
      </c>
      <c r="J44" s="233">
        <f>IFERROR($F44/1000*VLOOKUP($E44,Filamentos!A$2:H$96,3,FALSE),"")</f>
        <v>26.66</v>
      </c>
      <c r="K44" s="233">
        <f>IFERROR(G44*24*VLOOKUP(D44,Impressoras!A$2:G$100,6,FALSE)*Outros!$B$2,"")</f>
        <v>2.1599999999999997</v>
      </c>
      <c r="L44" s="233">
        <f>IFERROR(G44*24*VLOOKUP(D44,Impressoras!A$2:G$100,7,FALSE),"")</f>
        <v>6.930947999999999</v>
      </c>
      <c r="M44" s="242">
        <f t="shared" si="10"/>
        <v>15.449470348238354</v>
      </c>
      <c r="N44" s="233">
        <f>IFERROR(H44*24*Outros!$B$3,"")</f>
        <v>5</v>
      </c>
      <c r="O44" s="233">
        <f>IFERROR(($I44+$J44+$K44+$L44+$N44)*Outros!$B$4,"")</f>
        <v>4.1110948</v>
      </c>
      <c r="P44" s="234">
        <f t="shared" si="11"/>
        <v>44.862042799999998</v>
      </c>
    </row>
    <row r="45" spans="1:16">
      <c r="A45" s="227">
        <v>46133</v>
      </c>
      <c r="B45" s="228" t="str">
        <f t="shared" si="9"/>
        <v>Abr/26</v>
      </c>
      <c r="C45" s="229" t="s">
        <v>172</v>
      </c>
      <c r="D45" s="229" t="s">
        <v>113</v>
      </c>
      <c r="E45" s="229" t="s">
        <v>111</v>
      </c>
      <c r="F45" s="230">
        <f>81.77+27.86</f>
        <v>109.63</v>
      </c>
      <c r="G45" s="231">
        <v>0.17708333333333334</v>
      </c>
      <c r="H45" s="232">
        <v>2.0833333333333332E-2</v>
      </c>
      <c r="I45" s="233">
        <v>0.7</v>
      </c>
      <c r="J45" s="233">
        <f>IFERROR($F45/1000*VLOOKUP($E45,Filamentos!A$2:H$96,3,FALSE),"")</f>
        <v>10.962999999999999</v>
      </c>
      <c r="K45" s="233">
        <f>IFERROR(G45*24*VLOOKUP(D45,Impressoras!A$2:G$100,6,FALSE)*Outros!$B$2,"")</f>
        <v>0.7649999999999999</v>
      </c>
      <c r="L45" s="233">
        <f>IFERROR(G45*24*VLOOKUP(D45,Impressoras!A$2:G$100,7,FALSE),"")</f>
        <v>2.4547107499999998</v>
      </c>
      <c r="M45" s="242">
        <f t="shared" si="10"/>
        <v>11.594694900268284</v>
      </c>
      <c r="N45" s="233">
        <f>IFERROR(H45*24*Outros!$B$3,"")</f>
        <v>5</v>
      </c>
      <c r="O45" s="233">
        <f>IFERROR(($I45+$J45+$K45+$L45+$N45)*Outros!$B$4,"")</f>
        <v>1.9882710750000001</v>
      </c>
      <c r="P45" s="234">
        <f t="shared" si="11"/>
        <v>21.170981824999998</v>
      </c>
    </row>
    <row r="46" spans="1:16">
      <c r="A46" s="227">
        <v>46133</v>
      </c>
      <c r="B46" s="228" t="str">
        <f t="shared" si="9"/>
        <v>Abr/26</v>
      </c>
      <c r="C46" s="229" t="s">
        <v>173</v>
      </c>
      <c r="D46" s="229" t="s">
        <v>113</v>
      </c>
      <c r="E46" s="229" t="s">
        <v>111</v>
      </c>
      <c r="F46" s="230">
        <v>335</v>
      </c>
      <c r="G46" s="231">
        <v>0.875</v>
      </c>
      <c r="H46" s="232">
        <v>2.0833333333333332E-2</v>
      </c>
      <c r="I46" s="233">
        <v>0</v>
      </c>
      <c r="J46" s="233">
        <f>IFERROR($F46/1000*VLOOKUP($E46,Filamentos!A$2:H$96,3,FALSE),"")</f>
        <v>33.5</v>
      </c>
      <c r="K46" s="233">
        <f>IFERROR(G46*24*VLOOKUP(D46,Impressoras!A$2:G$100,6,FALSE)*Outros!$B$2,"")</f>
        <v>3.78</v>
      </c>
      <c r="L46" s="233">
        <f>IFERROR(G46*24*VLOOKUP(D46,Impressoras!A$2:G$100,7,FALSE),"")</f>
        <v>12.129159</v>
      </c>
      <c r="M46" s="242">
        <f t="shared" si="10"/>
        <v>20.26590446255231</v>
      </c>
      <c r="N46" s="233">
        <f>IFERROR(H46*24*Outros!$B$3,"")</f>
        <v>5</v>
      </c>
      <c r="O46" s="233">
        <f>IFERROR(($I46+$J46+$K46+$L46+$N46)*Outros!$B$4,"")</f>
        <v>5.4409159000000002</v>
      </c>
      <c r="P46" s="234">
        <f t="shared" si="11"/>
        <v>59.850074900000003</v>
      </c>
    </row>
    <row r="47" spans="1:16">
      <c r="A47" s="227">
        <v>46133</v>
      </c>
      <c r="B47" s="228" t="str">
        <f t="shared" ref="B47:B55" si="12">IF($A47="","",PROPER(TEXT($A47,"mmm")) &amp; "/" &amp; TEXT($A47,"aa"))</f>
        <v>Abr/26</v>
      </c>
      <c r="C47" s="229" t="s">
        <v>175</v>
      </c>
      <c r="D47" s="229" t="s">
        <v>113</v>
      </c>
      <c r="E47" s="229" t="s">
        <v>111</v>
      </c>
      <c r="F47" s="230">
        <v>94</v>
      </c>
      <c r="G47" s="231">
        <v>0.27083333333333331</v>
      </c>
      <c r="H47" s="232">
        <v>0</v>
      </c>
      <c r="I47" s="233">
        <v>0</v>
      </c>
      <c r="J47" s="233">
        <f>IFERROR($F47/1000*VLOOKUP($E47,Filamentos!A$2:H$96,3,FALSE),"")</f>
        <v>9.4</v>
      </c>
      <c r="K47" s="233">
        <f>IFERROR(G47*24*VLOOKUP(D47,Impressoras!A$2:G$100,6,FALSE)*Outros!$B$2,"")</f>
        <v>1.17</v>
      </c>
      <c r="L47" s="233">
        <f>IFERROR(G47*24*VLOOKUP(D47,Impressoras!A$2:G$100,7,FALSE),"")</f>
        <v>3.7542634999999995</v>
      </c>
      <c r="M47" s="242">
        <f t="shared" ref="M47:M55" si="13">IFERROR(L47*100/P47,"")</f>
        <v>23.826473299529972</v>
      </c>
      <c r="N47" s="233">
        <f>IFERROR(H47*24*Outros!$B$3,"")</f>
        <v>0</v>
      </c>
      <c r="O47" s="233">
        <f>IFERROR(($I47+$J47+$K47+$L47+$N47)*Outros!$B$4,"")</f>
        <v>1.4324263500000001</v>
      </c>
      <c r="P47" s="234">
        <f t="shared" ref="P47:P55" si="14">SUM(J47:L47)+SUM(N47:O47)</f>
        <v>15.756689850000001</v>
      </c>
    </row>
    <row r="48" spans="1:16">
      <c r="A48" s="227">
        <v>46133</v>
      </c>
      <c r="B48" s="228" t="str">
        <f t="shared" si="12"/>
        <v>Abr/26</v>
      </c>
      <c r="C48" s="229" t="s">
        <v>176</v>
      </c>
      <c r="D48" s="229" t="s">
        <v>113</v>
      </c>
      <c r="E48" s="229" t="s">
        <v>111</v>
      </c>
      <c r="F48" s="230">
        <v>59</v>
      </c>
      <c r="G48" s="231">
        <v>0.1076388888888889</v>
      </c>
      <c r="H48" s="232">
        <v>2.0833333333333332E-2</v>
      </c>
      <c r="I48" s="233">
        <v>0.35</v>
      </c>
      <c r="J48" s="233">
        <f>IFERROR($F48/1000*VLOOKUP($E48,Filamentos!A$2:H$96,3,FALSE),"")</f>
        <v>5.8999999999999995</v>
      </c>
      <c r="K48" s="233">
        <f>IFERROR(G48*24*VLOOKUP(D48,Impressoras!A$2:G$100,6,FALSE)*Outros!$B$2,"")</f>
        <v>0.46499999999999997</v>
      </c>
      <c r="L48" s="233">
        <f>IFERROR(G48*24*VLOOKUP(D48,Impressoras!A$2:G$100,7,FALSE),"")</f>
        <v>1.4920790833333333</v>
      </c>
      <c r="M48" s="242">
        <f t="shared" si="13"/>
        <v>10.524061930189378</v>
      </c>
      <c r="N48" s="233">
        <f>IFERROR(H48*24*Outros!$B$3,"")</f>
        <v>5</v>
      </c>
      <c r="O48" s="233">
        <f>IFERROR(($I48+$J48+$K48+$L48+$N48)*Outros!$B$4,"")</f>
        <v>1.3207079083333333</v>
      </c>
      <c r="P48" s="234">
        <f t="shared" si="14"/>
        <v>14.177786991666666</v>
      </c>
    </row>
    <row r="49" spans="1:16">
      <c r="A49" s="227">
        <v>46133</v>
      </c>
      <c r="B49" s="228" t="str">
        <f t="shared" si="12"/>
        <v>Abr/26</v>
      </c>
      <c r="C49" s="229" t="s">
        <v>177</v>
      </c>
      <c r="D49" s="229" t="s">
        <v>113</v>
      </c>
      <c r="E49" s="229" t="s">
        <v>111</v>
      </c>
      <c r="F49" s="230">
        <v>73</v>
      </c>
      <c r="G49" s="231">
        <v>0.20833333333333334</v>
      </c>
      <c r="H49" s="232">
        <v>2.0833333333333332E-2</v>
      </c>
      <c r="I49" s="233">
        <v>0.35</v>
      </c>
      <c r="J49" s="233">
        <f>IFERROR($F49/1000*VLOOKUP($E49,Filamentos!A$2:H$96,3,FALSE),"")</f>
        <v>7.3</v>
      </c>
      <c r="K49" s="233">
        <f>IFERROR(G49*24*VLOOKUP(D49,Impressoras!A$2:G$100,6,FALSE)*Outros!$B$2,"")</f>
        <v>0.89999999999999991</v>
      </c>
      <c r="L49" s="233">
        <f>IFERROR(G49*24*VLOOKUP(D49,Impressoras!A$2:G$100,7,FALSE),"")</f>
        <v>2.8878949999999999</v>
      </c>
      <c r="M49" s="242">
        <f t="shared" si="13"/>
        <v>16.286636500891948</v>
      </c>
      <c r="N49" s="233">
        <f>IFERROR(H49*24*Outros!$B$3,"")</f>
        <v>5</v>
      </c>
      <c r="O49" s="233">
        <f>IFERROR(($I49+$J49+$K49+$L49+$N49)*Outros!$B$4,"")</f>
        <v>1.6437894999999998</v>
      </c>
      <c r="P49" s="234">
        <f t="shared" si="14"/>
        <v>17.7316845</v>
      </c>
    </row>
    <row r="50" spans="1:16">
      <c r="A50" s="227">
        <v>46133</v>
      </c>
      <c r="B50" s="228" t="str">
        <f t="shared" si="12"/>
        <v>Abr/26</v>
      </c>
      <c r="C50" s="229" t="s">
        <v>180</v>
      </c>
      <c r="D50" s="229" t="s">
        <v>113</v>
      </c>
      <c r="E50" s="229" t="s">
        <v>111</v>
      </c>
      <c r="F50" s="230">
        <v>94.72</v>
      </c>
      <c r="G50" s="231">
        <v>0.14305555555555555</v>
      </c>
      <c r="H50" s="232">
        <v>0</v>
      </c>
      <c r="I50" s="233">
        <v>7.0000000000000007E-2</v>
      </c>
      <c r="J50" s="233">
        <f>IFERROR($F50/1000*VLOOKUP($E50,Filamentos!A$2:H$96,3,FALSE),"")</f>
        <v>9.4719999999999995</v>
      </c>
      <c r="K50" s="233">
        <f>IFERROR(G50*24*VLOOKUP(D50,Impressoras!A$2:G$100,6,FALSE)*Outros!$B$2,"")</f>
        <v>0.61799999999999988</v>
      </c>
      <c r="L50" s="233">
        <f>IFERROR(G50*24*VLOOKUP(D50,Impressoras!A$2:G$100,7,FALSE),"")</f>
        <v>1.983021233333333</v>
      </c>
      <c r="M50" s="242">
        <f t="shared" si="13"/>
        <v>14.924158764740149</v>
      </c>
      <c r="N50" s="233">
        <f>IFERROR(H50*24*Outros!$B$3,"")</f>
        <v>0</v>
      </c>
      <c r="O50" s="233">
        <f>IFERROR(($I50+$J50+$K50+$L50+$N50)*Outros!$B$4,"")</f>
        <v>1.2143021233333333</v>
      </c>
      <c r="P50" s="234">
        <f t="shared" si="14"/>
        <v>13.287323356666665</v>
      </c>
    </row>
    <row r="51" spans="1:16">
      <c r="A51" s="227">
        <v>46133</v>
      </c>
      <c r="B51" s="228" t="str">
        <f t="shared" si="12"/>
        <v>Abr/26</v>
      </c>
      <c r="C51" s="229" t="s">
        <v>181</v>
      </c>
      <c r="D51" s="229" t="s">
        <v>113</v>
      </c>
      <c r="E51" s="229" t="s">
        <v>111</v>
      </c>
      <c r="F51" s="230">
        <v>82.16</v>
      </c>
      <c r="G51" s="231">
        <v>0.12847222222222221</v>
      </c>
      <c r="H51" s="232">
        <v>0</v>
      </c>
      <c r="I51" s="233">
        <v>0</v>
      </c>
      <c r="J51" s="233">
        <f>IFERROR($F51/1000*VLOOKUP($E51,Filamentos!A$2:H$96,3,FALSE),"")</f>
        <v>8.2159999999999993</v>
      </c>
      <c r="K51" s="233">
        <f>IFERROR(G51*24*VLOOKUP(D51,Impressoras!A$2:G$100,6,FALSE)*Outros!$B$2,"")</f>
        <v>0.55499999999999983</v>
      </c>
      <c r="L51" s="233">
        <f>IFERROR(G51*24*VLOOKUP(D51,Impressoras!A$2:G$100,7,FALSE),"")</f>
        <v>1.7808685833333331</v>
      </c>
      <c r="M51" s="242">
        <f t="shared" si="13"/>
        <v>15.342983345633238</v>
      </c>
      <c r="N51" s="233">
        <f>IFERROR(H51*24*Outros!$B$3,"")</f>
        <v>0</v>
      </c>
      <c r="O51" s="233">
        <f>IFERROR(($I51+$J51+$K51+$L51+$N51)*Outros!$B$4,"")</f>
        <v>1.0551868583333333</v>
      </c>
      <c r="P51" s="234">
        <f t="shared" si="14"/>
        <v>11.607055441666667</v>
      </c>
    </row>
    <row r="52" spans="1:16">
      <c r="A52" s="227">
        <v>46133</v>
      </c>
      <c r="B52" s="228" t="str">
        <f t="shared" si="12"/>
        <v>Abr/26</v>
      </c>
      <c r="C52" s="229" t="s">
        <v>182</v>
      </c>
      <c r="D52" s="229" t="s">
        <v>113</v>
      </c>
      <c r="E52" s="229" t="s">
        <v>111</v>
      </c>
      <c r="F52" s="230">
        <v>76.14</v>
      </c>
      <c r="G52" s="231">
        <v>0.11527777777777778</v>
      </c>
      <c r="H52" s="232">
        <v>0</v>
      </c>
      <c r="I52" s="233">
        <v>7.0000000000000007E-2</v>
      </c>
      <c r="J52" s="233">
        <f>IFERROR($F52/1000*VLOOKUP($E52,Filamentos!A$2:H$96,3,FALSE),"")</f>
        <v>7.6139999999999999</v>
      </c>
      <c r="K52" s="233">
        <f>IFERROR(G52*24*VLOOKUP(D52,Impressoras!A$2:G$100,6,FALSE)*Outros!$B$2,"")</f>
        <v>0.49799999999999994</v>
      </c>
      <c r="L52" s="233">
        <f>IFERROR(G52*24*VLOOKUP(D52,Impressoras!A$2:G$100,7,FALSE),"")</f>
        <v>1.5979685666666665</v>
      </c>
      <c r="M52" s="242">
        <f t="shared" si="13"/>
        <v>14.95110157428163</v>
      </c>
      <c r="N52" s="233">
        <f>IFERROR(H52*24*Outros!$B$3,"")</f>
        <v>0</v>
      </c>
      <c r="O52" s="233">
        <f>IFERROR(($I52+$J52+$K52+$L52+$N52)*Outros!$B$4,"")</f>
        <v>0.9779968566666668</v>
      </c>
      <c r="P52" s="234">
        <f t="shared" si="14"/>
        <v>10.687965423333335</v>
      </c>
    </row>
    <row r="53" spans="1:16">
      <c r="A53" s="227">
        <v>46133</v>
      </c>
      <c r="B53" s="228" t="str">
        <f t="shared" si="12"/>
        <v>Abr/26</v>
      </c>
      <c r="C53" s="229" t="s">
        <v>184</v>
      </c>
      <c r="D53" s="229" t="s">
        <v>113</v>
      </c>
      <c r="E53" s="229" t="s">
        <v>111</v>
      </c>
      <c r="F53" s="230">
        <v>9.52</v>
      </c>
      <c r="G53" s="231">
        <v>2.0381944444444446E-2</v>
      </c>
      <c r="H53" s="232">
        <v>0</v>
      </c>
      <c r="I53" s="233">
        <v>7.0000000000000007E-2</v>
      </c>
      <c r="J53" s="233">
        <f>IFERROR($F53/1000*VLOOKUP($E53,Filamentos!A$2:H$96,3,FALSE),"")</f>
        <v>0.95199999999999985</v>
      </c>
      <c r="K53" s="233">
        <f>IFERROR(G53*24*VLOOKUP(D53,Impressoras!A$2:G$100,6,FALSE)*Outros!$B$2,"")</f>
        <v>8.8049999999999989E-2</v>
      </c>
      <c r="L53" s="233">
        <f>IFERROR(G53*24*VLOOKUP(D53,Impressoras!A$2:G$100,7,FALSE),"")</f>
        <v>0.28253239416666664</v>
      </c>
      <c r="M53" s="242">
        <f t="shared" si="13"/>
        <v>19.327167933081039</v>
      </c>
      <c r="N53" s="233">
        <f>IFERROR(H53*24*Outros!$B$3,"")</f>
        <v>0</v>
      </c>
      <c r="O53" s="233">
        <f>IFERROR(($I53+$J53+$K53+$L53+$N53)*Outros!$B$4,"")</f>
        <v>0.13925823941666665</v>
      </c>
      <c r="P53" s="234">
        <f t="shared" si="14"/>
        <v>1.4618406335833332</v>
      </c>
    </row>
    <row r="54" spans="1:16">
      <c r="A54" s="227">
        <v>46133</v>
      </c>
      <c r="B54" s="228" t="str">
        <f t="shared" si="12"/>
        <v>Abr/26</v>
      </c>
      <c r="C54" s="229" t="s">
        <v>183</v>
      </c>
      <c r="D54" s="229" t="s">
        <v>113</v>
      </c>
      <c r="E54" s="229" t="s">
        <v>111</v>
      </c>
      <c r="F54" s="230">
        <v>7.42</v>
      </c>
      <c r="G54" s="231">
        <v>2.1446759259259259E-2</v>
      </c>
      <c r="H54" s="232">
        <v>0</v>
      </c>
      <c r="I54" s="233">
        <v>7.0000000000000007E-2</v>
      </c>
      <c r="J54" s="233">
        <f>IFERROR($F54/1000*VLOOKUP($E54,Filamentos!A$2:H$96,3,FALSE),"")</f>
        <v>0.74199999999999999</v>
      </c>
      <c r="K54" s="233">
        <f>IFERROR(G54*24*VLOOKUP(D54,Impressoras!A$2:G$100,6,FALSE)*Outros!$B$2,"")</f>
        <v>9.2649999999999982E-2</v>
      </c>
      <c r="L54" s="233">
        <f>IFERROR(G54*24*VLOOKUP(D54,Impressoras!A$2:G$100,7,FALSE),"")</f>
        <v>0.29729274638888886</v>
      </c>
      <c r="M54" s="242">
        <f t="shared" si="13"/>
        <v>23.742828571977316</v>
      </c>
      <c r="N54" s="233">
        <f>IFERROR(H54*24*Outros!$B$3,"")</f>
        <v>0</v>
      </c>
      <c r="O54" s="233">
        <f>IFERROR(($I54+$J54+$K54+$L54+$N54)*Outros!$B$4,"")</f>
        <v>0.1201942746388889</v>
      </c>
      <c r="P54" s="234">
        <f t="shared" si="14"/>
        <v>1.2521370210277778</v>
      </c>
    </row>
    <row r="55" spans="1:16">
      <c r="A55" s="227">
        <v>46133</v>
      </c>
      <c r="B55" s="228" t="str">
        <f t="shared" si="12"/>
        <v>Abr/26</v>
      </c>
      <c r="C55" s="229" t="s">
        <v>185</v>
      </c>
      <c r="D55" s="229" t="s">
        <v>113</v>
      </c>
      <c r="E55" s="229" t="s">
        <v>111</v>
      </c>
      <c r="F55" s="230">
        <v>19.559999999999999</v>
      </c>
      <c r="G55" s="231">
        <v>4.8611111111111112E-2</v>
      </c>
      <c r="H55" s="232">
        <v>0</v>
      </c>
      <c r="I55" s="233">
        <v>7.0000000000000007E-2</v>
      </c>
      <c r="J55" s="233">
        <f>IFERROR($F55/1000*VLOOKUP($E55,Filamentos!A$2:H$96,3,FALSE),"")</f>
        <v>1.9559999999999997</v>
      </c>
      <c r="K55" s="233">
        <f>IFERROR(G55*24*VLOOKUP(D55,Impressoras!A$2:G$100,6,FALSE)*Outros!$B$2,"")</f>
        <v>0.21000000000000002</v>
      </c>
      <c r="L55" s="233">
        <f>IFERROR(G55*24*VLOOKUP(D55,Impressoras!A$2:G$100,7,FALSE),"")</f>
        <v>0.67384216666666663</v>
      </c>
      <c r="M55" s="242">
        <f t="shared" si="13"/>
        <v>21.522821267055992</v>
      </c>
      <c r="N55" s="233">
        <f>IFERROR(H55*24*Outros!$B$3,"")</f>
        <v>0</v>
      </c>
      <c r="O55" s="233">
        <f>IFERROR(($I55+$J55+$K55+$L55+$N55)*Outros!$B$4,"")</f>
        <v>0.29098421666666668</v>
      </c>
      <c r="P55" s="234">
        <f t="shared" si="14"/>
        <v>3.1308263833333334</v>
      </c>
    </row>
    <row r="56" spans="1:16">
      <c r="A56" s="227">
        <v>46134</v>
      </c>
      <c r="B56" s="228" t="str">
        <f>IF($A56="","",PROPER(TEXT($A56,"mmm")) &amp; "/" &amp; TEXT($A56,"aa"))</f>
        <v>Abr/26</v>
      </c>
      <c r="C56" s="229" t="s">
        <v>186</v>
      </c>
      <c r="D56" s="229" t="s">
        <v>113</v>
      </c>
      <c r="E56" s="229" t="s">
        <v>111</v>
      </c>
      <c r="F56" s="230">
        <v>18</v>
      </c>
      <c r="G56" s="231">
        <v>4.8611111111111112E-2</v>
      </c>
      <c r="H56" s="232">
        <v>0</v>
      </c>
      <c r="I56" s="233">
        <v>0.35</v>
      </c>
      <c r="J56" s="233">
        <f>IFERROR($F56/1000*VLOOKUP($E56,Filamentos!A$2:H$96,3,FALSE),"")</f>
        <v>1.7999999999999998</v>
      </c>
      <c r="K56" s="233">
        <f>IFERROR(G56*24*VLOOKUP(D56,Impressoras!A$2:G$100,6,FALSE)*Outros!$B$2,"")</f>
        <v>0.21000000000000002</v>
      </c>
      <c r="L56" s="233">
        <f>IFERROR(G56*24*VLOOKUP(D56,Impressoras!A$2:G$100,7,FALSE),"")</f>
        <v>0.67384216666666663</v>
      </c>
      <c r="M56" s="242">
        <f>IFERROR(L56*100/P56,"")</f>
        <v>22.557452305129669</v>
      </c>
      <c r="N56" s="233">
        <f>IFERROR(H56*24*Outros!$B$3,"")</f>
        <v>0</v>
      </c>
      <c r="O56" s="233">
        <f>IFERROR(($I56+$J56+$K56+$L56+$N56)*Outros!$B$4,"")</f>
        <v>0.30338421666666671</v>
      </c>
      <c r="P56" s="234">
        <f>SUM(J56:L56)+SUM(N56:O56)</f>
        <v>2.9872263833333332</v>
      </c>
    </row>
    <row r="57" spans="1:16">
      <c r="A57" s="227">
        <v>46135</v>
      </c>
      <c r="B57" s="228" t="str">
        <f>IF($A57="","",PROPER(TEXT($A57,"mmm")) &amp; "/" &amp; TEXT($A57,"aa"))</f>
        <v>Abr/26</v>
      </c>
      <c r="C57" s="229" t="s">
        <v>188</v>
      </c>
      <c r="D57" s="229" t="s">
        <v>113</v>
      </c>
      <c r="E57" s="229" t="s">
        <v>111</v>
      </c>
      <c r="F57" s="230">
        <v>839.34</v>
      </c>
      <c r="G57" s="231">
        <v>1.09375</v>
      </c>
      <c r="H57" s="232">
        <v>2.0833333333333332E-2</v>
      </c>
      <c r="I57" s="233">
        <v>25</v>
      </c>
      <c r="J57" s="233">
        <f>IFERROR($F57/1000*VLOOKUP($E57,Filamentos!A$2:H$96,3,FALSE),"")</f>
        <v>83.934000000000012</v>
      </c>
      <c r="K57" s="233">
        <f>IFERROR(G57*24*VLOOKUP(D57,Impressoras!A$2:G$100,6,FALSE)*Outros!$B$2,"")</f>
        <v>4.7249999999999996</v>
      </c>
      <c r="L57" s="233">
        <f>IFERROR(G57*24*VLOOKUP(D57,Impressoras!A$2:G$100,7,FALSE),"")</f>
        <v>15.161448749999998</v>
      </c>
      <c r="M57" s="242">
        <f>IFERROR(L57*100/P57,"")</f>
        <v>12.406824361968905</v>
      </c>
      <c r="N57" s="233">
        <f>IFERROR(H57*24*Outros!$B$3,"")</f>
        <v>5</v>
      </c>
      <c r="O57" s="233">
        <f>IFERROR(($I57+$J57+$K57+$L57+$N57)*Outros!$B$4,"")</f>
        <v>13.382044875</v>
      </c>
      <c r="P57" s="234">
        <f>SUM(J57:L57)+SUM(N57:O57)</f>
        <v>122.20249362499999</v>
      </c>
    </row>
    <row r="58" spans="1:16">
      <c r="A58" s="227">
        <v>46135</v>
      </c>
      <c r="B58" s="225" t="str">
        <f>IF($A58="","",PROPER(TEXT($A58,"mmm")) &amp; "/" &amp; TEXT($A58,"aa"))</f>
        <v>Abr/26</v>
      </c>
      <c r="C58" s="5" t="s">
        <v>190</v>
      </c>
      <c r="D58" s="5" t="s">
        <v>113</v>
      </c>
      <c r="E58" s="5" t="s">
        <v>111</v>
      </c>
      <c r="F58" s="6">
        <v>117.69</v>
      </c>
      <c r="G58" s="92">
        <v>0.21597222222222223</v>
      </c>
      <c r="H58" s="91">
        <v>0</v>
      </c>
      <c r="I58" s="7">
        <v>25</v>
      </c>
      <c r="J58" s="7">
        <f>IFERROR($F58/1000*VLOOKUP($E58,Filamentos!A$2:H$96,3,FALSE),"")</f>
        <v>11.769</v>
      </c>
      <c r="K58" s="233">
        <f>IFERROR(G58*24*VLOOKUP(D58,Impressoras!A$2:G$100,6,FALSE)*Outros!$B$2,"")</f>
        <v>0.93299999999999994</v>
      </c>
      <c r="L58" s="233">
        <f>IFERROR(G58*24*VLOOKUP(D58,Impressoras!A$2:G$100,7,FALSE),"")</f>
        <v>2.9937844833333331</v>
      </c>
      <c r="M58" s="86">
        <f>IFERROR(L58*100/P58,"")</f>
        <v>15.146620346327682</v>
      </c>
      <c r="N58" s="233">
        <f>IFERROR(H58*24*Outros!$B$3,"")</f>
        <v>0</v>
      </c>
      <c r="O58" s="7">
        <f>IFERROR(($I58+$J58+$K58+$L58+$N58)*Outros!$B$4,"")</f>
        <v>4.0695784483333339</v>
      </c>
      <c r="P58" s="8">
        <f>SUM(J58:L58)+SUM(N58:O58)</f>
        <v>19.765362931666669</v>
      </c>
    </row>
  </sheetData>
  <pageMargins left="0.511811024" right="0.511811024" top="0.78740157499999996" bottom="0.78740157499999996" header="0.31496062000000002" footer="0.31496062000000002"/>
  <pageSetup paperSize="9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1B0EAC-3500-DA4D-BB26-F6D292197835}">
          <x14:formula1>
            <xm:f>Impressoras!$A$2:$A$3</xm:f>
          </x14:formula1>
          <xm:sqref>D7:D58</xm:sqref>
        </x14:dataValidation>
        <x14:dataValidation type="list" allowBlank="1" showInputMessage="1" showErrorMessage="1" xr:uid="{C0BD5B20-E6F4-3A4F-86C7-09A5D4C80FCF}">
          <x14:formula1>
            <xm:f>Filamentos!$A$2:$A$10</xm:f>
          </x14:formula1>
          <xm:sqref>E7:E58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45FD-E5E4-4D55-B547-2E70C465FA11}">
  <dimension ref="A1:AA1000"/>
  <sheetViews>
    <sheetView zoomScaleNormal="100" workbookViewId="0">
      <selection activeCell="D2" sqref="D2"/>
    </sheetView>
  </sheetViews>
  <sheetFormatPr baseColWidth="10" defaultColWidth="10.6640625" defaultRowHeight="16"/>
  <cols>
    <col min="1" max="1" width="19.33203125" style="10" customWidth="1"/>
    <col min="2" max="2" width="12.1640625" style="10" bestFit="1" customWidth="1"/>
    <col min="3" max="3" width="14.5" style="10" bestFit="1" customWidth="1"/>
    <col min="4" max="4" width="12.6640625" style="10" customWidth="1"/>
    <col min="5" max="5" width="16.83203125" style="10" bestFit="1" customWidth="1"/>
    <col min="6" max="12" width="10.6640625" style="10"/>
    <col min="13" max="13" width="4.83203125" style="10" customWidth="1"/>
    <col min="14" max="16384" width="10.6640625" style="10"/>
  </cols>
  <sheetData>
    <row r="1" spans="1:27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M1" s="11"/>
      <c r="N1" s="9" t="s">
        <v>40</v>
      </c>
      <c r="O1" s="9" t="s">
        <v>35</v>
      </c>
      <c r="P1" s="9" t="s">
        <v>6</v>
      </c>
      <c r="Q1" s="9" t="s">
        <v>41</v>
      </c>
      <c r="R1" s="11"/>
      <c r="S1" s="268" t="s">
        <v>42</v>
      </c>
      <c r="T1" s="268"/>
      <c r="U1" s="268"/>
      <c r="V1" s="11"/>
      <c r="W1" s="268" t="s">
        <v>43</v>
      </c>
      <c r="X1" s="268"/>
      <c r="Y1" s="268"/>
      <c r="Z1" s="11"/>
      <c r="AA1" s="11"/>
    </row>
    <row r="2" spans="1:27">
      <c r="A2" s="12" t="s">
        <v>44</v>
      </c>
      <c r="B2" s="13">
        <v>13.5</v>
      </c>
      <c r="C2" s="14">
        <v>50</v>
      </c>
      <c r="D2" s="13">
        <f>IFERROR(B2/C2,"")</f>
        <v>0.27</v>
      </c>
      <c r="E2" s="15">
        <v>50</v>
      </c>
      <c r="M2" s="11"/>
      <c r="N2" s="16" t="s">
        <v>45</v>
      </c>
      <c r="O2" s="17">
        <v>511</v>
      </c>
      <c r="P2" s="16">
        <v>600</v>
      </c>
      <c r="Q2" s="18">
        <f>O2/P2</f>
        <v>0.85166666666666668</v>
      </c>
      <c r="R2" s="11"/>
      <c r="S2" s="214" t="s">
        <v>46</v>
      </c>
      <c r="T2" s="214" t="s">
        <v>6</v>
      </c>
      <c r="U2" s="214" t="s">
        <v>35</v>
      </c>
      <c r="V2" s="11"/>
      <c r="W2" s="214" t="s">
        <v>46</v>
      </c>
      <c r="X2" s="214" t="s">
        <v>6</v>
      </c>
      <c r="Y2" s="214" t="s">
        <v>35</v>
      </c>
      <c r="Z2" s="11"/>
      <c r="AA2" s="11"/>
    </row>
    <row r="3" spans="1:27">
      <c r="A3" s="12" t="s">
        <v>47</v>
      </c>
      <c r="B3" s="13">
        <v>132.5</v>
      </c>
      <c r="C3" s="14">
        <v>5</v>
      </c>
      <c r="D3" s="13">
        <f>IFERROR(B3/C3,"")</f>
        <v>26.5</v>
      </c>
      <c r="E3" s="15">
        <v>5</v>
      </c>
      <c r="M3" s="11"/>
      <c r="N3" s="16" t="s">
        <v>48</v>
      </c>
      <c r="O3" s="17">
        <v>949.68</v>
      </c>
      <c r="P3" s="16">
        <v>300</v>
      </c>
      <c r="Q3" s="18">
        <f t="shared" ref="Q3:Q12" si="0">O3/P3</f>
        <v>3.1656</v>
      </c>
      <c r="R3" s="11"/>
      <c r="S3" s="16" t="s">
        <v>48</v>
      </c>
      <c r="T3" s="14">
        <v>1</v>
      </c>
      <c r="U3" s="17">
        <f>IFERROR(T3*VLOOKUP(S3,$N$2:$Q$12,4,FALSE),0)</f>
        <v>3.1656</v>
      </c>
      <c r="V3" s="11"/>
      <c r="W3" s="16" t="s">
        <v>49</v>
      </c>
      <c r="X3" s="14">
        <v>1</v>
      </c>
      <c r="Y3" s="18">
        <f>IFERROR(X3*VLOOKUP(W3,$N$2:$Q$12,4,FALSE),0)</f>
        <v>1.3979999999999999</v>
      </c>
      <c r="Z3" s="11"/>
      <c r="AA3" s="11"/>
    </row>
    <row r="4" spans="1:27">
      <c r="A4" s="12"/>
      <c r="B4" s="13"/>
      <c r="C4" s="14"/>
      <c r="D4" s="13" t="str">
        <f t="shared" ref="D4:D31" si="1">IFERROR(B4/C4,"")</f>
        <v/>
      </c>
      <c r="E4" s="15">
        <v>0</v>
      </c>
      <c r="M4" s="11"/>
      <c r="N4" s="16" t="s">
        <v>49</v>
      </c>
      <c r="O4" s="17">
        <v>699</v>
      </c>
      <c r="P4" s="16">
        <v>500</v>
      </c>
      <c r="Q4" s="18">
        <f t="shared" si="0"/>
        <v>1.3979999999999999</v>
      </c>
      <c r="R4" s="11"/>
      <c r="S4" s="16" t="s">
        <v>45</v>
      </c>
      <c r="T4" s="14">
        <v>6</v>
      </c>
      <c r="U4" s="17">
        <f>IFERROR(T4*VLOOKUP(S4,$N$2:$Q$12,4,FALSE),0)</f>
        <v>5.1100000000000003</v>
      </c>
      <c r="V4" s="11"/>
      <c r="W4" s="16" t="s">
        <v>45</v>
      </c>
      <c r="X4" s="14">
        <v>5</v>
      </c>
      <c r="Y4" s="18">
        <f>IFERROR(X4*VLOOKUP(W4,$N$2:$Q$12,4,FALSE),0)</f>
        <v>4.2583333333333337</v>
      </c>
      <c r="Z4" s="11"/>
      <c r="AA4" s="11"/>
    </row>
    <row r="5" spans="1:27">
      <c r="A5" s="12"/>
      <c r="B5" s="13"/>
      <c r="C5" s="14"/>
      <c r="D5" s="13" t="str">
        <f t="shared" si="1"/>
        <v/>
      </c>
      <c r="E5" s="15">
        <v>0</v>
      </c>
      <c r="M5" s="11"/>
      <c r="N5" s="16" t="s">
        <v>50</v>
      </c>
      <c r="O5" s="17">
        <v>29</v>
      </c>
      <c r="P5" s="16">
        <v>150</v>
      </c>
      <c r="Q5" s="18">
        <f t="shared" si="0"/>
        <v>0.19333333333333333</v>
      </c>
      <c r="R5" s="11"/>
      <c r="S5" s="16" t="s">
        <v>50</v>
      </c>
      <c r="T5" s="14">
        <v>1</v>
      </c>
      <c r="U5" s="17">
        <f>IFERROR(T5*VLOOKUP(S5,$N$2:$Q$12,4,FALSE),0)</f>
        <v>0.19333333333333333</v>
      </c>
      <c r="V5" s="11"/>
      <c r="W5" s="16" t="s">
        <v>50</v>
      </c>
      <c r="X5" s="14">
        <v>1</v>
      </c>
      <c r="Y5" s="18">
        <f>IFERROR(X5*VLOOKUP(W5,$N$2:$Q$12,4,FALSE),0)</f>
        <v>0.19333333333333333</v>
      </c>
      <c r="Z5" s="11"/>
      <c r="AA5" s="11"/>
    </row>
    <row r="6" spans="1:27">
      <c r="A6" s="12"/>
      <c r="B6" s="13"/>
      <c r="C6" s="14"/>
      <c r="D6" s="13" t="str">
        <f t="shared" si="1"/>
        <v/>
      </c>
      <c r="E6" s="15">
        <v>0</v>
      </c>
      <c r="M6" s="11"/>
      <c r="N6" s="16" t="s">
        <v>51</v>
      </c>
      <c r="O6" s="17">
        <v>20</v>
      </c>
      <c r="P6" s="16">
        <v>150</v>
      </c>
      <c r="Q6" s="18">
        <f t="shared" si="0"/>
        <v>0.13333333333333333</v>
      </c>
      <c r="R6" s="11"/>
      <c r="S6" s="16" t="s">
        <v>51</v>
      </c>
      <c r="T6" s="14">
        <v>1</v>
      </c>
      <c r="U6" s="17">
        <f>IFERROR(T6*VLOOKUP(S6,$N$2:$Q$12,4,FALSE),0)</f>
        <v>0.13333333333333333</v>
      </c>
      <c r="V6" s="11"/>
      <c r="W6" s="16" t="s">
        <v>51</v>
      </c>
      <c r="X6" s="14">
        <v>1</v>
      </c>
      <c r="Y6" s="18">
        <f>IFERROR(X6*VLOOKUP(W6,$N$2:$Q$12,4,FALSE),0)</f>
        <v>0.13333333333333333</v>
      </c>
      <c r="Z6" s="11"/>
      <c r="AA6" s="11"/>
    </row>
    <row r="7" spans="1:27">
      <c r="A7" s="12"/>
      <c r="B7" s="13"/>
      <c r="C7" s="14"/>
      <c r="D7" s="13" t="str">
        <f t="shared" si="1"/>
        <v/>
      </c>
      <c r="E7" s="15">
        <v>0</v>
      </c>
      <c r="M7" s="11"/>
      <c r="N7" s="16" t="s">
        <v>52</v>
      </c>
      <c r="O7" s="17">
        <v>0.96</v>
      </c>
      <c r="P7" s="16"/>
      <c r="Q7" s="18">
        <v>0.96</v>
      </c>
      <c r="R7" s="11"/>
      <c r="S7" s="16" t="s">
        <v>44</v>
      </c>
      <c r="T7" s="14">
        <v>1</v>
      </c>
      <c r="U7" s="17">
        <f>IFERROR(T7*VLOOKUP(S7,$N$2:$Q$12,4,FALSE),0)</f>
        <v>0.27</v>
      </c>
      <c r="V7" s="11"/>
      <c r="W7" s="16"/>
      <c r="X7" s="14"/>
      <c r="Y7" s="18">
        <f>IFERROR(X7*VLOOKUP(W7,$N$2:$Q$12,4,FALSE),0)</f>
        <v>0</v>
      </c>
      <c r="Z7" s="11"/>
      <c r="AA7" s="11"/>
    </row>
    <row r="8" spans="1:27">
      <c r="A8" s="12"/>
      <c r="B8" s="13"/>
      <c r="C8" s="14"/>
      <c r="D8" s="13" t="str">
        <f t="shared" si="1"/>
        <v/>
      </c>
      <c r="E8" s="15">
        <v>0</v>
      </c>
      <c r="M8" s="11"/>
      <c r="N8" s="16" t="s">
        <v>44</v>
      </c>
      <c r="O8" s="17">
        <v>13.5</v>
      </c>
      <c r="P8" s="16">
        <v>50</v>
      </c>
      <c r="Q8" s="18">
        <f t="shared" si="0"/>
        <v>0.27</v>
      </c>
      <c r="R8" s="11"/>
      <c r="S8" s="19" t="s">
        <v>53</v>
      </c>
      <c r="T8" s="9"/>
      <c r="U8" s="20">
        <v>8.6</v>
      </c>
      <c r="V8" s="11"/>
      <c r="W8" s="19" t="s">
        <v>53</v>
      </c>
      <c r="X8" s="9"/>
      <c r="Y8" s="21">
        <v>5.98</v>
      </c>
      <c r="Z8" s="11"/>
      <c r="AA8" s="11"/>
    </row>
    <row r="9" spans="1:27">
      <c r="A9" s="12"/>
      <c r="B9" s="13"/>
      <c r="C9" s="14"/>
      <c r="D9" s="13" t="str">
        <f t="shared" si="1"/>
        <v/>
      </c>
      <c r="E9" s="15">
        <v>0</v>
      </c>
      <c r="M9" s="11"/>
      <c r="N9" s="16" t="s">
        <v>47</v>
      </c>
      <c r="O9" s="17">
        <v>132.5</v>
      </c>
      <c r="P9" s="16">
        <v>5</v>
      </c>
      <c r="Q9" s="18">
        <f t="shared" si="0"/>
        <v>26.5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>
      <c r="A10" s="12"/>
      <c r="B10" s="13"/>
      <c r="C10" s="14"/>
      <c r="D10" s="13" t="str">
        <f t="shared" si="1"/>
        <v/>
      </c>
      <c r="E10" s="15">
        <v>0</v>
      </c>
      <c r="M10" s="11"/>
      <c r="N10" s="16"/>
      <c r="O10" s="17"/>
      <c r="P10" s="16"/>
      <c r="Q10" s="18" t="e">
        <f t="shared" si="0"/>
        <v>#DIV/0!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>
      <c r="A11" s="12"/>
      <c r="B11" s="13"/>
      <c r="C11" s="14"/>
      <c r="D11" s="13" t="str">
        <f t="shared" si="1"/>
        <v/>
      </c>
      <c r="E11" s="15">
        <v>0</v>
      </c>
      <c r="M11" s="11"/>
      <c r="N11" s="16"/>
      <c r="O11" s="17"/>
      <c r="P11" s="16"/>
      <c r="Q11" s="18" t="e">
        <f t="shared" si="0"/>
        <v>#DIV/0!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>
      <c r="A12" s="12"/>
      <c r="B12" s="13"/>
      <c r="C12" s="14"/>
      <c r="D12" s="13" t="str">
        <f t="shared" si="1"/>
        <v/>
      </c>
      <c r="E12" s="15">
        <v>0</v>
      </c>
      <c r="M12" s="11"/>
      <c r="N12" s="16"/>
      <c r="O12" s="17"/>
      <c r="P12" s="16"/>
      <c r="Q12" s="18" t="e">
        <f t="shared" si="0"/>
        <v>#DIV/0!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>
      <c r="A13" s="12"/>
      <c r="B13" s="13"/>
      <c r="C13" s="14"/>
      <c r="D13" s="13" t="str">
        <f t="shared" si="1"/>
        <v/>
      </c>
      <c r="E13" s="15">
        <v>0</v>
      </c>
      <c r="M13" s="11"/>
      <c r="N13" s="22"/>
      <c r="O13" s="22"/>
      <c r="P13" s="22"/>
      <c r="Q13" s="22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>
      <c r="A14" s="12"/>
      <c r="B14" s="13"/>
      <c r="C14" s="14"/>
      <c r="D14" s="13" t="str">
        <f t="shared" si="1"/>
        <v/>
      </c>
      <c r="E14" s="15">
        <v>0</v>
      </c>
      <c r="M14" s="11"/>
      <c r="Q14" s="22"/>
      <c r="R14" s="11"/>
      <c r="S14" s="11"/>
      <c r="T14" s="11"/>
      <c r="U14" s="11"/>
      <c r="V14" s="11"/>
      <c r="W14" s="11"/>
      <c r="X14" s="11"/>
      <c r="Y14" s="11"/>
    </row>
    <row r="15" spans="1:27">
      <c r="A15" s="12"/>
      <c r="B15" s="13"/>
      <c r="C15" s="14"/>
      <c r="D15" s="13" t="str">
        <f t="shared" si="1"/>
        <v/>
      </c>
      <c r="E15" s="15">
        <v>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>
      <c r="A16" s="12"/>
      <c r="B16" s="13"/>
      <c r="C16" s="14"/>
      <c r="D16" s="13" t="str">
        <f t="shared" si="1"/>
        <v/>
      </c>
      <c r="E16" s="15">
        <v>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>
      <c r="A17" s="12"/>
      <c r="B17" s="13"/>
      <c r="C17" s="14"/>
      <c r="D17" s="13" t="str">
        <f t="shared" si="1"/>
        <v/>
      </c>
      <c r="E17" s="15">
        <v>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>
      <c r="A18" s="12"/>
      <c r="B18" s="13"/>
      <c r="C18" s="14"/>
      <c r="D18" s="13" t="str">
        <f t="shared" si="1"/>
        <v/>
      </c>
      <c r="E18" s="15">
        <v>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>
      <c r="A19" s="12"/>
      <c r="B19" s="13"/>
      <c r="C19" s="14"/>
      <c r="D19" s="13" t="str">
        <f t="shared" si="1"/>
        <v/>
      </c>
      <c r="E19" s="15">
        <v>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>
      <c r="A20" s="12"/>
      <c r="B20" s="13"/>
      <c r="C20" s="14"/>
      <c r="D20" s="13" t="str">
        <f t="shared" si="1"/>
        <v/>
      </c>
      <c r="E20" s="15">
        <v>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>
      <c r="A21" s="12"/>
      <c r="B21" s="13"/>
      <c r="C21" s="14"/>
      <c r="D21" s="13" t="str">
        <f t="shared" si="1"/>
        <v/>
      </c>
      <c r="E21" s="15">
        <v>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>
      <c r="A22" s="12"/>
      <c r="B22" s="13"/>
      <c r="C22" s="14"/>
      <c r="D22" s="13" t="str">
        <f t="shared" si="1"/>
        <v/>
      </c>
      <c r="E22" s="15">
        <v>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>
      <c r="A23" s="12"/>
      <c r="B23" s="13"/>
      <c r="C23" s="14"/>
      <c r="D23" s="13" t="str">
        <f t="shared" si="1"/>
        <v/>
      </c>
      <c r="E23" s="15">
        <v>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7">
      <c r="A24" s="12"/>
      <c r="B24" s="13"/>
      <c r="C24" s="14"/>
      <c r="D24" s="13" t="str">
        <f t="shared" si="1"/>
        <v/>
      </c>
      <c r="E24" s="15">
        <v>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22" t="s">
        <v>54</v>
      </c>
      <c r="T24" s="23">
        <v>8.6</v>
      </c>
      <c r="U24" s="11"/>
      <c r="V24" s="11"/>
      <c r="W24" s="11"/>
      <c r="X24" s="11"/>
      <c r="Y24" s="11"/>
      <c r="Z24" s="11"/>
      <c r="AA24" s="11"/>
    </row>
    <row r="25" spans="1:27">
      <c r="A25" s="12"/>
      <c r="B25" s="13"/>
      <c r="C25" s="14"/>
      <c r="D25" s="13" t="str">
        <f t="shared" si="1"/>
        <v/>
      </c>
      <c r="E25" s="15">
        <v>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22" t="s">
        <v>55</v>
      </c>
      <c r="T25" s="23">
        <v>4.93</v>
      </c>
      <c r="U25" s="11"/>
      <c r="V25" s="11"/>
      <c r="W25" s="11"/>
      <c r="X25" s="11"/>
      <c r="Y25" s="11"/>
      <c r="Z25" s="11"/>
      <c r="AA25" s="11"/>
    </row>
    <row r="26" spans="1:27">
      <c r="A26" s="12"/>
      <c r="B26" s="13"/>
      <c r="C26" s="14"/>
      <c r="D26" s="13" t="str">
        <f t="shared" si="1"/>
        <v/>
      </c>
      <c r="E26" s="15">
        <v>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>
      <c r="A27" s="12"/>
      <c r="B27" s="13"/>
      <c r="C27" s="14"/>
      <c r="D27" s="13" t="str">
        <f t="shared" si="1"/>
        <v/>
      </c>
      <c r="E27" s="15">
        <v>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>
      <c r="A28" s="12"/>
      <c r="B28" s="13"/>
      <c r="C28" s="14"/>
      <c r="D28" s="13" t="str">
        <f t="shared" si="1"/>
        <v/>
      </c>
      <c r="E28" s="15">
        <v>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>
      <c r="A29" s="12"/>
      <c r="B29" s="13"/>
      <c r="C29" s="14"/>
      <c r="D29" s="13" t="str">
        <f t="shared" si="1"/>
        <v/>
      </c>
      <c r="E29" s="15">
        <v>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>
      <c r="A30" s="12"/>
      <c r="B30" s="13"/>
      <c r="C30" s="14"/>
      <c r="D30" s="13" t="str">
        <f t="shared" si="1"/>
        <v/>
      </c>
      <c r="E30" s="15">
        <v>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>
      <c r="A31" s="12"/>
      <c r="B31" s="13"/>
      <c r="C31" s="14"/>
      <c r="D31" s="13" t="str">
        <f t="shared" si="1"/>
        <v/>
      </c>
      <c r="E31" s="15">
        <v>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S1:U1"/>
    <mergeCell ref="W1:Y1"/>
  </mergeCells>
  <dataValidations count="2">
    <dataValidation type="list" allowBlank="1" showInputMessage="1" showErrorMessage="1" sqref="S7" xr:uid="{0AFE067E-4F41-4233-A4B8-01410291E45B}">
      <formula1>$N$2:$N$9</formula1>
    </dataValidation>
    <dataValidation type="list" allowBlank="1" showInputMessage="1" showErrorMessage="1" sqref="W3:W6 S3:S6" xr:uid="{6C467F76-8376-474B-860A-F87B699FDE8B}">
      <formula1>$N$2:$N$7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EA69-A669-46D1-8239-F5855CDBA12F}">
  <dimension ref="A1:G9"/>
  <sheetViews>
    <sheetView showGridLines="0" zoomScale="110" zoomScaleNormal="110" workbookViewId="0">
      <selection activeCell="G2" sqref="G2"/>
    </sheetView>
  </sheetViews>
  <sheetFormatPr baseColWidth="10" defaultColWidth="10.6640625" defaultRowHeight="16"/>
  <cols>
    <col min="1" max="2" width="17" style="10" customWidth="1"/>
    <col min="3" max="3" width="14.6640625" style="10" customWidth="1"/>
    <col min="4" max="4" width="17.83203125" style="10" customWidth="1"/>
    <col min="5" max="5" width="19.6640625" style="10" customWidth="1"/>
    <col min="6" max="6" width="30.83203125" style="10" customWidth="1"/>
    <col min="7" max="7" width="21.33203125" style="10" customWidth="1"/>
    <col min="8" max="16384" width="10.6640625" style="10"/>
  </cols>
  <sheetData>
    <row r="1" spans="1:7" ht="46" customHeight="1">
      <c r="A1" s="73" t="s">
        <v>7</v>
      </c>
      <c r="B1" s="73" t="s">
        <v>56</v>
      </c>
      <c r="C1" s="73" t="s">
        <v>57</v>
      </c>
      <c r="D1" s="73" t="s">
        <v>58</v>
      </c>
      <c r="E1" s="73" t="s">
        <v>59</v>
      </c>
      <c r="F1" s="73" t="s">
        <v>60</v>
      </c>
      <c r="G1" s="73" t="s">
        <v>61</v>
      </c>
    </row>
    <row r="2" spans="1:7">
      <c r="A2" s="29" t="s">
        <v>113</v>
      </c>
      <c r="B2" s="29" t="s">
        <v>62</v>
      </c>
      <c r="C2" s="74">
        <v>4775.79</v>
      </c>
      <c r="D2" s="75">
        <v>10000</v>
      </c>
      <c r="E2" s="75">
        <v>1000</v>
      </c>
      <c r="F2" s="76">
        <v>0.15</v>
      </c>
      <c r="G2" s="74">
        <f>(C2+E2)/D2</f>
        <v>0.57757899999999995</v>
      </c>
    </row>
    <row r="3" spans="1:7">
      <c r="A3" s="29" t="s">
        <v>63</v>
      </c>
      <c r="B3" s="29" t="s">
        <v>62</v>
      </c>
      <c r="C3" s="74">
        <v>22000</v>
      </c>
      <c r="D3" s="75">
        <v>25000</v>
      </c>
      <c r="E3" s="75">
        <v>3000</v>
      </c>
      <c r="F3" s="76">
        <v>0.3</v>
      </c>
      <c r="G3" s="74">
        <f>(C3+E3)/D3</f>
        <v>1</v>
      </c>
    </row>
    <row r="4" spans="1:7">
      <c r="D4" s="24"/>
      <c r="E4" s="25"/>
    </row>
    <row r="5" spans="1:7">
      <c r="D5" s="24"/>
    </row>
    <row r="6" spans="1:7">
      <c r="D6" s="24"/>
    </row>
    <row r="7" spans="1:7">
      <c r="D7" s="24"/>
    </row>
    <row r="8" spans="1:7">
      <c r="D8" s="24"/>
    </row>
    <row r="9" spans="1:7">
      <c r="D9" s="2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A34A-5123-4B7C-9A45-45521A68D5B5}">
  <dimension ref="A1:I31"/>
  <sheetViews>
    <sheetView zoomScale="120" zoomScaleNormal="120" workbookViewId="0">
      <selection activeCell="I32" sqref="I32"/>
    </sheetView>
  </sheetViews>
  <sheetFormatPr baseColWidth="10" defaultColWidth="10.6640625" defaultRowHeight="16"/>
  <cols>
    <col min="1" max="1" width="17.5" style="10" bestFit="1" customWidth="1"/>
    <col min="2" max="2" width="10.6640625" style="10"/>
    <col min="3" max="3" width="5.1640625" style="10" customWidth="1"/>
    <col min="4" max="4" width="10.6640625" style="10"/>
    <col min="5" max="5" width="11.6640625" style="10" customWidth="1"/>
    <col min="6" max="16384" width="10.6640625" style="10"/>
  </cols>
  <sheetData>
    <row r="1" spans="1:6" ht="17">
      <c r="B1" s="26">
        <v>46054</v>
      </c>
      <c r="D1" s="10" t="s">
        <v>64</v>
      </c>
      <c r="E1" s="101" t="s">
        <v>65</v>
      </c>
      <c r="F1" s="101"/>
    </row>
    <row r="2" spans="1:6">
      <c r="A2" s="27" t="s">
        <v>66</v>
      </c>
      <c r="B2" s="28">
        <v>1.2</v>
      </c>
      <c r="D2" s="126">
        <v>0</v>
      </c>
      <c r="E2" s="10" t="s">
        <v>67</v>
      </c>
    </row>
    <row r="3" spans="1:6">
      <c r="A3" s="27" t="s">
        <v>68</v>
      </c>
      <c r="B3" s="28">
        <v>10</v>
      </c>
      <c r="C3" s="29" t="str">
        <f>B5&amp;"/h"</f>
        <v>R$/h</v>
      </c>
      <c r="D3" s="126">
        <v>0.05</v>
      </c>
      <c r="E3" s="10" t="s">
        <v>69</v>
      </c>
    </row>
    <row r="4" spans="1:6">
      <c r="A4" s="27" t="s">
        <v>70</v>
      </c>
      <c r="B4" s="89">
        <v>0.1</v>
      </c>
      <c r="C4" s="29" t="s">
        <v>71</v>
      </c>
      <c r="D4" s="126">
        <v>0.1</v>
      </c>
      <c r="E4" s="10" t="s">
        <v>72</v>
      </c>
    </row>
    <row r="5" spans="1:6">
      <c r="A5" s="27" t="s">
        <v>73</v>
      </c>
      <c r="B5" s="30" t="s">
        <v>74</v>
      </c>
      <c r="C5" s="29"/>
      <c r="D5" s="126">
        <v>0.15</v>
      </c>
      <c r="E5" s="10" t="s">
        <v>75</v>
      </c>
    </row>
    <row r="6" spans="1:6">
      <c r="A6" s="22" t="s">
        <v>76</v>
      </c>
      <c r="B6" s="31">
        <v>0.2</v>
      </c>
      <c r="C6" s="29"/>
      <c r="D6" s="126">
        <v>0.2</v>
      </c>
      <c r="E6" s="10" t="s">
        <v>77</v>
      </c>
    </row>
    <row r="7" spans="1:6">
      <c r="A7" s="22" t="s">
        <v>78</v>
      </c>
      <c r="B7" s="31">
        <v>0</v>
      </c>
      <c r="C7" s="29"/>
      <c r="D7" s="126">
        <v>0.25</v>
      </c>
      <c r="E7" s="10" t="s">
        <v>79</v>
      </c>
    </row>
    <row r="8" spans="1:6">
      <c r="A8" s="22" t="s">
        <v>80</v>
      </c>
      <c r="B8" s="32">
        <v>4</v>
      </c>
      <c r="C8" s="33"/>
      <c r="D8" s="126">
        <v>0.3</v>
      </c>
    </row>
    <row r="9" spans="1:6">
      <c r="D9" s="126">
        <v>0.35</v>
      </c>
    </row>
    <row r="10" spans="1:6">
      <c r="D10" s="126"/>
    </row>
    <row r="11" spans="1:6">
      <c r="D11" s="126"/>
    </row>
    <row r="12" spans="1:6">
      <c r="D12" s="126"/>
    </row>
    <row r="13" spans="1:6">
      <c r="D13" s="126"/>
    </row>
    <row r="14" spans="1:6">
      <c r="D14" s="126"/>
    </row>
    <row r="29" spans="9:9">
      <c r="I29" s="261">
        <v>0.12291666666666666</v>
      </c>
    </row>
    <row r="30" spans="9:9">
      <c r="I30" s="261">
        <v>5.4166666666666669E-2</v>
      </c>
    </row>
    <row r="31" spans="9:9">
      <c r="I31" s="261">
        <f>SUM(I29:I30)</f>
        <v>0.17708333333333331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FBFB-AC2D-4A50-9CE4-68BA316DB966}">
  <dimension ref="A1:H30"/>
  <sheetViews>
    <sheetView showGridLines="0" zoomScale="130" zoomScaleNormal="130" workbookViewId="0">
      <selection activeCell="C2" sqref="C2"/>
    </sheetView>
  </sheetViews>
  <sheetFormatPr baseColWidth="10" defaultColWidth="10.6640625" defaultRowHeight="16"/>
  <cols>
    <col min="1" max="1" width="23.83203125" style="10" customWidth="1"/>
    <col min="2" max="2" width="11.1640625" style="10" customWidth="1"/>
    <col min="3" max="3" width="14.83203125" style="10" customWidth="1"/>
    <col min="4" max="4" width="13.6640625" style="10" customWidth="1"/>
    <col min="5" max="5" width="11.6640625" style="10" customWidth="1"/>
    <col min="6" max="7" width="15.1640625" style="10" customWidth="1"/>
    <col min="8" max="8" width="19.83203125" style="10" customWidth="1"/>
    <col min="9" max="9" width="12.1640625" style="10" customWidth="1"/>
    <col min="10" max="16384" width="10.6640625" style="10"/>
  </cols>
  <sheetData>
    <row r="1" spans="1:8" s="192" customFormat="1" ht="34">
      <c r="A1" s="191" t="s">
        <v>81</v>
      </c>
      <c r="B1" s="191" t="s">
        <v>82</v>
      </c>
      <c r="C1" s="191" t="s">
        <v>83</v>
      </c>
      <c r="D1" s="191" t="s">
        <v>84</v>
      </c>
      <c r="E1" s="191" t="s">
        <v>85</v>
      </c>
      <c r="F1" s="191" t="s">
        <v>86</v>
      </c>
      <c r="G1" s="191" t="s">
        <v>87</v>
      </c>
      <c r="H1" s="191" t="s">
        <v>88</v>
      </c>
    </row>
    <row r="2" spans="1:8" ht="17">
      <c r="A2" s="193" t="s">
        <v>89</v>
      </c>
      <c r="B2" s="194">
        <v>1.75</v>
      </c>
      <c r="C2" s="195">
        <v>86</v>
      </c>
      <c r="D2" s="194">
        <v>1000</v>
      </c>
      <c r="E2" s="194">
        <v>1.24</v>
      </c>
      <c r="F2" s="194">
        <v>220</v>
      </c>
      <c r="G2" s="194">
        <v>60</v>
      </c>
      <c r="H2" s="196">
        <f t="shared" ref="H2:H6" si="0">D2/E2*4/(PI()*(B2/100)^2)/10</f>
        <v>335283.61941676436</v>
      </c>
    </row>
    <row r="3" spans="1:8" ht="17">
      <c r="A3" s="193" t="s">
        <v>112</v>
      </c>
      <c r="B3" s="194">
        <v>1.75</v>
      </c>
      <c r="C3" s="195">
        <v>83</v>
      </c>
      <c r="D3" s="194">
        <v>1000</v>
      </c>
      <c r="E3" s="194">
        <v>1.24</v>
      </c>
      <c r="F3" s="194">
        <v>260</v>
      </c>
      <c r="G3" s="194">
        <v>80</v>
      </c>
      <c r="H3" s="196">
        <f t="shared" si="0"/>
        <v>335283.61941676436</v>
      </c>
    </row>
    <row r="4" spans="1:8" ht="17">
      <c r="A4" s="193" t="s">
        <v>110</v>
      </c>
      <c r="B4" s="194">
        <v>1.75</v>
      </c>
      <c r="C4" s="195">
        <v>78</v>
      </c>
      <c r="D4" s="194">
        <v>1000</v>
      </c>
      <c r="E4" s="194">
        <v>1.24</v>
      </c>
      <c r="F4" s="194">
        <v>220</v>
      </c>
      <c r="G4" s="194">
        <v>115</v>
      </c>
      <c r="H4" s="196">
        <f t="shared" si="0"/>
        <v>335283.61941676436</v>
      </c>
    </row>
    <row r="5" spans="1:8" ht="17">
      <c r="A5" s="193" t="s">
        <v>111</v>
      </c>
      <c r="B5" s="194">
        <v>1.75</v>
      </c>
      <c r="C5" s="195">
        <v>100</v>
      </c>
      <c r="D5" s="194">
        <v>1000</v>
      </c>
      <c r="E5" s="194">
        <v>1.24</v>
      </c>
      <c r="F5" s="194">
        <v>220</v>
      </c>
      <c r="G5" s="194">
        <v>100</v>
      </c>
      <c r="H5" s="196">
        <f t="shared" si="0"/>
        <v>335283.61941676436</v>
      </c>
    </row>
    <row r="6" spans="1:8" ht="17">
      <c r="A6" s="193" t="s">
        <v>18</v>
      </c>
      <c r="B6" s="194">
        <v>1.75</v>
      </c>
      <c r="C6" s="195">
        <v>86</v>
      </c>
      <c r="D6" s="194">
        <v>1000</v>
      </c>
      <c r="E6" s="194">
        <v>1.24</v>
      </c>
      <c r="F6" s="194">
        <v>220</v>
      </c>
      <c r="G6" s="194">
        <v>100</v>
      </c>
      <c r="H6" s="196">
        <f t="shared" si="0"/>
        <v>335283.61941676436</v>
      </c>
    </row>
    <row r="7" spans="1:8" ht="17">
      <c r="A7" s="193"/>
      <c r="B7" s="194"/>
      <c r="C7" s="195"/>
      <c r="D7" s="194"/>
      <c r="E7" s="194"/>
      <c r="F7" s="194"/>
      <c r="G7" s="194"/>
      <c r="H7" s="196"/>
    </row>
    <row r="8" spans="1:8" ht="17">
      <c r="A8" s="193"/>
      <c r="B8" s="194"/>
      <c r="C8" s="195"/>
      <c r="D8" s="194"/>
      <c r="E8" s="194"/>
      <c r="F8" s="194"/>
      <c r="G8" s="194"/>
      <c r="H8" s="196"/>
    </row>
    <row r="9" spans="1:8" ht="17">
      <c r="A9" s="193"/>
      <c r="B9" s="194"/>
      <c r="C9" s="195"/>
      <c r="D9" s="194"/>
      <c r="E9" s="194"/>
      <c r="F9" s="194"/>
      <c r="G9" s="194"/>
      <c r="H9" s="196"/>
    </row>
    <row r="10" spans="1:8" ht="17">
      <c r="A10" s="193"/>
      <c r="B10" s="194"/>
      <c r="C10" s="195"/>
      <c r="D10" s="194"/>
      <c r="E10" s="194"/>
      <c r="F10" s="194"/>
      <c r="G10" s="194"/>
      <c r="H10" s="196"/>
    </row>
    <row r="11" spans="1:8">
      <c r="A11" s="22"/>
      <c r="B11" s="76"/>
      <c r="C11" s="32"/>
      <c r="D11" s="76"/>
      <c r="E11" s="76"/>
      <c r="F11" s="76"/>
      <c r="G11" s="76"/>
      <c r="H11" s="190"/>
    </row>
    <row r="12" spans="1:8">
      <c r="A12" s="22"/>
      <c r="B12" s="76"/>
      <c r="C12" s="32"/>
      <c r="D12" s="76"/>
      <c r="E12" s="76"/>
      <c r="F12" s="76"/>
      <c r="G12" s="76"/>
      <c r="H12" s="190"/>
    </row>
    <row r="13" spans="1:8">
      <c r="A13" s="22"/>
      <c r="B13" s="76"/>
      <c r="C13" s="32"/>
      <c r="D13" s="76"/>
      <c r="E13" s="76"/>
      <c r="F13" s="76"/>
      <c r="G13" s="76"/>
      <c r="H13" s="190"/>
    </row>
    <row r="14" spans="1:8">
      <c r="A14" s="22"/>
      <c r="B14" s="76"/>
      <c r="C14" s="32"/>
      <c r="D14" s="76"/>
      <c r="E14" s="76"/>
      <c r="F14" s="76"/>
      <c r="G14" s="76"/>
      <c r="H14" s="190"/>
    </row>
    <row r="15" spans="1:8">
      <c r="A15" s="22"/>
      <c r="B15" s="76"/>
      <c r="C15" s="32"/>
      <c r="D15" s="76"/>
      <c r="E15" s="76"/>
      <c r="F15" s="76"/>
      <c r="G15" s="76"/>
      <c r="H15" s="190"/>
    </row>
    <row r="16" spans="1:8">
      <c r="A16" s="22"/>
      <c r="B16" s="76"/>
      <c r="C16" s="32"/>
      <c r="D16" s="76"/>
      <c r="E16" s="76"/>
      <c r="F16" s="76"/>
      <c r="G16" s="76"/>
      <c r="H16" s="190"/>
    </row>
    <row r="17" spans="1:8">
      <c r="A17" s="22"/>
      <c r="B17" s="76"/>
      <c r="C17" s="32"/>
      <c r="D17" s="76"/>
      <c r="E17" s="76"/>
      <c r="F17" s="76"/>
      <c r="G17" s="76"/>
      <c r="H17" s="190"/>
    </row>
    <row r="18" spans="1:8">
      <c r="A18" s="22"/>
      <c r="B18" s="76"/>
      <c r="C18" s="32"/>
      <c r="D18" s="76"/>
      <c r="E18" s="76"/>
      <c r="F18" s="76"/>
      <c r="G18" s="76"/>
      <c r="H18" s="190"/>
    </row>
    <row r="19" spans="1:8">
      <c r="A19" s="22"/>
      <c r="B19" s="76"/>
      <c r="C19" s="32"/>
      <c r="D19" s="76"/>
      <c r="E19" s="76"/>
      <c r="F19" s="76"/>
      <c r="G19" s="76"/>
      <c r="H19" s="190"/>
    </row>
    <row r="20" spans="1:8">
      <c r="A20" s="22"/>
      <c r="B20" s="76"/>
      <c r="C20" s="32"/>
      <c r="D20" s="76"/>
      <c r="E20" s="76"/>
      <c r="F20" s="76"/>
      <c r="G20" s="76"/>
      <c r="H20" s="190"/>
    </row>
    <row r="21" spans="1:8">
      <c r="A21" s="22"/>
      <c r="B21" s="76"/>
      <c r="C21" s="32"/>
      <c r="D21" s="76"/>
      <c r="E21" s="76"/>
      <c r="F21" s="76"/>
      <c r="G21" s="76"/>
      <c r="H21" s="190"/>
    </row>
    <row r="22" spans="1:8">
      <c r="A22" s="22"/>
      <c r="B22" s="22"/>
      <c r="C22" s="23"/>
      <c r="D22" s="22"/>
      <c r="E22" s="22"/>
      <c r="F22" s="22"/>
      <c r="G22" s="22"/>
      <c r="H22" s="22"/>
    </row>
    <row r="23" spans="1:8">
      <c r="A23" s="22"/>
      <c r="B23" s="22"/>
      <c r="C23" s="23"/>
      <c r="D23" s="22"/>
      <c r="E23" s="22"/>
      <c r="F23" s="22"/>
      <c r="G23" s="22"/>
      <c r="H23" s="22"/>
    </row>
    <row r="24" spans="1:8">
      <c r="A24" s="22"/>
      <c r="B24" s="22"/>
      <c r="C24" s="23"/>
      <c r="D24" s="22"/>
      <c r="E24" s="22"/>
      <c r="F24" s="22"/>
      <c r="G24" s="22"/>
      <c r="H24" s="22"/>
    </row>
    <row r="25" spans="1:8">
      <c r="A25" s="22"/>
      <c r="B25" s="22"/>
      <c r="C25" s="23"/>
      <c r="D25" s="22"/>
      <c r="E25" s="22"/>
      <c r="F25" s="22"/>
      <c r="G25" s="22"/>
      <c r="H25" s="22"/>
    </row>
    <row r="26" spans="1:8">
      <c r="A26" s="22"/>
      <c r="B26" s="22"/>
      <c r="C26" s="23"/>
      <c r="D26" s="22"/>
      <c r="E26" s="22"/>
      <c r="F26" s="22"/>
      <c r="G26" s="22"/>
      <c r="H26" s="22"/>
    </row>
    <row r="27" spans="1:8">
      <c r="A27" s="22"/>
      <c r="B27" s="22"/>
      <c r="C27" s="23"/>
      <c r="D27" s="22"/>
      <c r="E27" s="22"/>
      <c r="F27" s="22"/>
      <c r="G27" s="22"/>
      <c r="H27" s="22"/>
    </row>
    <row r="28" spans="1:8">
      <c r="A28" s="22"/>
      <c r="B28" s="22"/>
      <c r="C28" s="23"/>
      <c r="D28" s="22"/>
      <c r="E28" s="22"/>
      <c r="F28" s="22"/>
      <c r="G28" s="22"/>
      <c r="H28" s="22"/>
    </row>
    <row r="29" spans="1:8">
      <c r="A29" s="22"/>
      <c r="B29" s="22"/>
      <c r="C29" s="23"/>
      <c r="D29" s="22"/>
      <c r="E29" s="22"/>
      <c r="F29" s="22"/>
      <c r="G29" s="22"/>
      <c r="H29" s="22"/>
    </row>
    <row r="30" spans="1:8">
      <c r="A30" s="22"/>
      <c r="B30" s="22"/>
      <c r="C30" s="23"/>
      <c r="D30" s="22"/>
      <c r="E30" s="22"/>
      <c r="F30" s="22"/>
      <c r="G30" s="22"/>
      <c r="H30" s="2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D9D1-BFDB-491F-B6F5-BB7915AFFCCD}">
  <dimension ref="A1:R29"/>
  <sheetViews>
    <sheetView topLeftCell="A5" zoomScale="90" zoomScaleNormal="90" workbookViewId="0">
      <selection activeCell="F7" sqref="F7"/>
    </sheetView>
  </sheetViews>
  <sheetFormatPr baseColWidth="10" defaultColWidth="10.6640625" defaultRowHeight="16"/>
  <cols>
    <col min="1" max="1" width="10.5" style="10" customWidth="1"/>
    <col min="2" max="2" width="13.5" style="10" customWidth="1"/>
    <col min="3" max="3" width="16.6640625" style="10" customWidth="1"/>
    <col min="4" max="4" width="16.33203125" style="10" customWidth="1"/>
    <col min="5" max="5" width="10.5" style="10" customWidth="1"/>
    <col min="6" max="6" width="11.5" style="10" customWidth="1"/>
    <col min="7" max="8" width="15.1640625" style="10" customWidth="1"/>
    <col min="9" max="9" width="13.5" style="10" customWidth="1"/>
    <col min="10" max="10" width="13" style="10" customWidth="1"/>
    <col min="11" max="12" width="14" style="10" customWidth="1"/>
    <col min="13" max="13" width="16.5" style="10" bestFit="1" customWidth="1"/>
    <col min="14" max="18" width="12.6640625" style="10" customWidth="1"/>
    <col min="19" max="16384" width="10.6640625" style="10"/>
  </cols>
  <sheetData>
    <row r="1" spans="1:18" ht="16" customHeight="1">
      <c r="A1" s="269"/>
      <c r="B1" s="270"/>
      <c r="C1" s="275" t="s">
        <v>90</v>
      </c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7"/>
    </row>
    <row r="2" spans="1:18" ht="16" customHeight="1">
      <c r="A2" s="271"/>
      <c r="B2" s="272"/>
      <c r="C2" s="278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80"/>
    </row>
    <row r="3" spans="1:18" ht="16" customHeight="1">
      <c r="A3" s="271"/>
      <c r="B3" s="272"/>
      <c r="C3" s="278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80"/>
    </row>
    <row r="4" spans="1:18" ht="17" customHeight="1" thickBot="1">
      <c r="A4" s="273"/>
      <c r="B4" s="274"/>
      <c r="C4" s="281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3"/>
    </row>
    <row r="5" spans="1:18" s="101" customFormat="1" ht="52" thickBot="1">
      <c r="A5" s="94" t="s">
        <v>91</v>
      </c>
      <c r="B5" s="95" t="s">
        <v>92</v>
      </c>
      <c r="C5" s="96" t="s">
        <v>93</v>
      </c>
      <c r="D5" s="96" t="s">
        <v>94</v>
      </c>
      <c r="E5" s="96" t="s">
        <v>95</v>
      </c>
      <c r="F5" s="96" t="s">
        <v>96</v>
      </c>
      <c r="G5" s="96" t="s">
        <v>97</v>
      </c>
      <c r="H5" s="96" t="s">
        <v>98</v>
      </c>
      <c r="I5" s="96" t="s">
        <v>99</v>
      </c>
      <c r="J5" s="96" t="s">
        <v>100</v>
      </c>
      <c r="K5" s="97" t="s">
        <v>29</v>
      </c>
      <c r="L5" s="96" t="s">
        <v>63</v>
      </c>
      <c r="M5" s="96" t="s">
        <v>101</v>
      </c>
      <c r="N5" s="96" t="s">
        <v>102</v>
      </c>
      <c r="O5" s="98" t="s">
        <v>103</v>
      </c>
      <c r="P5" s="98" t="s">
        <v>104</v>
      </c>
      <c r="Q5" s="99" t="s">
        <v>105</v>
      </c>
      <c r="R5" s="100" t="s">
        <v>106</v>
      </c>
    </row>
    <row r="6" spans="1:18">
      <c r="A6" s="34">
        <f>IF(DATE(YEAR(MIN(Vendas!$A:$A)),MONTH(MIN(Vendas!$A:$A))+ROW()-ROW($A$6),1)&gt;DATE(YEAR(MAX(Vendas!$A:$A)),MONTH(MAX(Vendas!$A:$A)),1),"",DATE(YEAR(MIN(Vendas!$A:$A)),MONTH(MIN(Vendas!$A:$A))+ROW()-ROW($A$6),1))</f>
        <v>46054</v>
      </c>
      <c r="B6" s="35" t="e">
        <f>SUMIFS(Vendas!#REF!,Vendas!$A:$A,"&gt;="&amp;A6,Vendas!$A:$A,"&lt;"&amp;EOMONTH(A6,0)+1)/1000</f>
        <v>#REF!</v>
      </c>
      <c r="C6" s="36" t="e">
        <f>SUMIFS(Vendas!#REF!,Vendas!$A:$A,"&gt;="&amp;A6,Vendas!$A:$A,"&lt;"&amp;EOMONTH(A6,0)+1)</f>
        <v>#REF!</v>
      </c>
      <c r="D6" s="36" t="e">
        <f>SUMIFS(Vendas!#REF!,Vendas!$A:$A,"&gt;="&amp;A6,Vendas!$A:$A,"&lt;"&amp;EOMONTH(A6,0)+1)</f>
        <v>#REF!</v>
      </c>
      <c r="E6" s="37" t="e">
        <f>SUMIFS(Vendas!#REF!,Vendas!$A:$A,"&gt;="&amp;A6,Vendas!$A:$A,"&lt;"&amp;EOMONTH(A6,0)+1)</f>
        <v>#REF!</v>
      </c>
      <c r="F6" s="37" t="e">
        <f>SUMIFS(Vendas!#REF!,Vendas!$A:$A,"&gt;="&amp;A6,Vendas!$A:$A,"&lt;"&amp;EOMONTH(A6,0)+1)</f>
        <v>#REF!</v>
      </c>
      <c r="G6" s="37">
        <f>SUMIFS(Vendas!$G:$G,Vendas!$A:$A,"&gt;="&amp;A6,Vendas!$A:$A,"&lt;"&amp;EOMONTH(A6,0)+1)</f>
        <v>0</v>
      </c>
      <c r="H6" s="37" t="e">
        <f>SUMIFS(Vendas!#REF!,Vendas!$A:$A,"&gt;="&amp;A6,Vendas!$A:$A,"&lt;"&amp;EOMONTH(A6,0)+1)</f>
        <v>#REF!</v>
      </c>
      <c r="I6" s="37">
        <f>SUMIFS(Vendas!$K:$K,Vendas!$A:$A,"&gt;="&amp;A6,Vendas!$A:$A,"&lt;"&amp;EOMONTH(A6,0)+1)</f>
        <v>80</v>
      </c>
      <c r="J6" s="38" t="str">
        <f>IF(G6=0,"",(I6-G6)/I6)</f>
        <v/>
      </c>
      <c r="K6" s="37" t="e">
        <f>SUMIFS(Vendas!#REF!,Vendas!$A:$A,"&gt;="&amp;A6,Vendas!$A:$A,"&lt;"&amp;EOMONTH(A6,0)+1)</f>
        <v>#REF!</v>
      </c>
      <c r="L6" s="37">
        <v>0</v>
      </c>
      <c r="M6" s="39">
        <v>193.91666666666666</v>
      </c>
      <c r="N6" s="39">
        <v>0</v>
      </c>
      <c r="O6" s="40">
        <v>1.9391666666666665E-2</v>
      </c>
      <c r="P6" s="40">
        <v>0.9806083333333333</v>
      </c>
      <c r="Q6" s="40">
        <v>0</v>
      </c>
      <c r="R6" s="41">
        <v>1</v>
      </c>
    </row>
    <row r="7" spans="1:18">
      <c r="A7" s="42">
        <f>IF(DATE(YEAR(MIN(Vendas!$A:$A)),MONTH(MIN(Vendas!$A:$A))+ROW()-ROW($A$6),1)&gt;DATE(YEAR(MAX(Vendas!$A:$A)),MONTH(MAX(Vendas!$A:$A)),1),"",DATE(YEAR(MIN(Vendas!$A:$A)),MONTH(MIN(Vendas!$A:$A))+ROW()-ROW($A$6),1))</f>
        <v>46082</v>
      </c>
      <c r="B7" s="43" t="e">
        <f>SUMIFS(Vendas!#REF!,Vendas!$A:$A,"&gt;="&amp;A7,Vendas!$A:$A,"&lt;"&amp;EOMONTH(A7,0)+1)/1000</f>
        <v>#REF!</v>
      </c>
      <c r="C7" s="44" t="e">
        <f>SUMIFS(Vendas!#REF!,Vendas!$A:$A,"&gt;="&amp;A7,Vendas!$A:$A,"&lt;"&amp;EOMONTH(A7,0)+1)</f>
        <v>#REF!</v>
      </c>
      <c r="D7" s="44" t="e">
        <f>SUMIFS(Vendas!#REF!,Vendas!$A:$A,"&gt;="&amp;A7,Vendas!$A:$A,"&lt;"&amp;EOMONTH(A7,0)+1)</f>
        <v>#REF!</v>
      </c>
      <c r="E7" s="45" t="e">
        <f>SUMIFS(Vendas!#REF!,Vendas!$A:$A,"&gt;="&amp;A7,Vendas!$A:$A,"&lt;"&amp;EOMONTH(A7,0)+1)</f>
        <v>#REF!</v>
      </c>
      <c r="F7" s="45" t="e">
        <f>SUMIFS(Vendas!#REF!,Vendas!$A:$A,"&gt;="&amp;A7,Vendas!$A:$A,"&lt;"&amp;EOMONTH(A7,0)+1)</f>
        <v>#REF!</v>
      </c>
      <c r="G7" s="45">
        <f>SUMIFS(Vendas!$G:$G,Vendas!$A:$A,"&gt;="&amp;A7,Vendas!$A:$A,"&lt;"&amp;EOMONTH(A7,0)+1)</f>
        <v>0</v>
      </c>
      <c r="H7" s="45" t="e">
        <f>SUMIFS(Vendas!#REF!,Vendas!$A:$A,"&gt;="&amp;A7,Vendas!$A:$A,"&lt;"&amp;EOMONTH(A7,0)+1)</f>
        <v>#REF!</v>
      </c>
      <c r="I7" s="45">
        <f>SUMIFS(Vendas!$K:$K,Vendas!$A:$A,"&gt;="&amp;A7,Vendas!$A:$A,"&lt;"&amp;EOMONTH(A7,0)+1)</f>
        <v>0</v>
      </c>
      <c r="J7" s="46" t="str">
        <f t="shared" ref="J7:J18" si="0">IF(G7=0,"",(I7-G7)/I7)</f>
        <v/>
      </c>
      <c r="K7" s="45" t="e">
        <f>SUMIFS(Vendas!#REF!,Vendas!$A:$A,"&gt;="&amp;A7,Vendas!$A:$A,"&lt;"&amp;EOMONTH(A7,0)+1)</f>
        <v>#REF!</v>
      </c>
      <c r="L7" s="45">
        <v>0</v>
      </c>
      <c r="M7" s="47">
        <v>0</v>
      </c>
      <c r="N7" s="47">
        <v>0</v>
      </c>
      <c r="O7" s="48">
        <v>0</v>
      </c>
      <c r="P7" s="48">
        <v>1</v>
      </c>
      <c r="Q7" s="48">
        <v>0</v>
      </c>
      <c r="R7" s="49">
        <v>1</v>
      </c>
    </row>
    <row r="8" spans="1:18">
      <c r="A8" s="42" t="str">
        <f>IF(DATE(YEAR(MIN(Vendas!$A:$A)),MONTH(MIN(Vendas!$A:$A))+ROW()-ROW($A$6),1)&gt;DATE(YEAR(MAX(Vendas!$A:$A)),MONTH(MAX(Vendas!$A:$A)),1),"",DATE(YEAR(MIN(Vendas!$A:$A)),MONTH(MIN(Vendas!$A:$A))+ROW()-ROW($A$6),1))</f>
        <v/>
      </c>
      <c r="B8" s="51" t="e">
        <f>SUMIFS(Vendas!#REF!,Vendas!$A:$A,"&gt;="&amp;A8,Vendas!$A:$A,"&lt;"&amp;EOMONTH(A8,0)+1)/1000</f>
        <v>#REF!</v>
      </c>
      <c r="C8" s="52" t="e">
        <f>SUMIFS(Vendas!#REF!,Vendas!$A:$A,"&gt;="&amp;A8,Vendas!$A:$A,"&lt;"&amp;EOMONTH(A8,0)+1)</f>
        <v>#REF!</v>
      </c>
      <c r="D8" s="52" t="e">
        <f>SUMIFS(Vendas!#REF!,Vendas!$A:$A,"&gt;="&amp;A8,Vendas!$A:$A,"&lt;"&amp;EOMONTH(A8,0)+1)</f>
        <v>#REF!</v>
      </c>
      <c r="E8" s="53" t="e">
        <f>SUMIFS(Vendas!#REF!,Vendas!$A:$A,"&gt;="&amp;A8,Vendas!$A:$A,"&lt;"&amp;EOMONTH(A8,0)+1)</f>
        <v>#REF!</v>
      </c>
      <c r="F8" s="53" t="e">
        <f>SUMIFS(Vendas!#REF!,Vendas!$A:$A,"&gt;="&amp;A8,Vendas!$A:$A,"&lt;"&amp;EOMONTH(A8,0)+1)</f>
        <v>#REF!</v>
      </c>
      <c r="G8" s="53">
        <f>SUMIFS(Vendas!$G:$G,Vendas!$A:$A,"&gt;="&amp;A8,Vendas!$A:$A,"&lt;"&amp;EOMONTH(A8,0)+1)</f>
        <v>0</v>
      </c>
      <c r="H8" s="53" t="e">
        <f>SUMIFS(Vendas!#REF!,Vendas!$A:$A,"&gt;="&amp;A8,Vendas!$A:$A,"&lt;"&amp;EOMONTH(A8,0)+1)</f>
        <v>#REF!</v>
      </c>
      <c r="I8" s="53">
        <f>SUMIFS(Vendas!$K:$K,Vendas!$A:$A,"&gt;="&amp;A8,Vendas!$A:$A,"&lt;"&amp;EOMONTH(A8,0)+1)</f>
        <v>0</v>
      </c>
      <c r="J8" s="54" t="str">
        <f t="shared" si="0"/>
        <v/>
      </c>
      <c r="K8" s="53" t="e">
        <f>SUMIFS(Vendas!#REF!,Vendas!$A:$A,"&gt;="&amp;A8,Vendas!$A:$A,"&lt;"&amp;EOMONTH(A8,0)+1)</f>
        <v>#REF!</v>
      </c>
      <c r="L8" s="53">
        <v>0</v>
      </c>
      <c r="M8" s="55">
        <v>0</v>
      </c>
      <c r="N8" s="55">
        <v>0</v>
      </c>
      <c r="O8" s="56">
        <v>0</v>
      </c>
      <c r="P8" s="56">
        <v>1</v>
      </c>
      <c r="Q8" s="56">
        <v>0</v>
      </c>
      <c r="R8" s="57">
        <v>1</v>
      </c>
    </row>
    <row r="9" spans="1:18">
      <c r="A9" s="42" t="str">
        <f>IF(DATE(YEAR(MIN(Vendas!$A:$A)),MONTH(MIN(Vendas!$A:$A))+ROW()-ROW($A$6),1)&gt;DATE(YEAR(MAX(Vendas!$A:$A)),MONTH(MAX(Vendas!$A:$A)),1),"",DATE(YEAR(MIN(Vendas!$A:$A)),MONTH(MIN(Vendas!$A:$A))+ROW()-ROW($A$6),1))</f>
        <v/>
      </c>
      <c r="B9" s="43" t="e">
        <f>SUMIFS(Vendas!#REF!,Vendas!$A:$A,"&gt;="&amp;A9,Vendas!$A:$A,"&lt;"&amp;EOMONTH(A9,0)+1)/1000</f>
        <v>#REF!</v>
      </c>
      <c r="C9" s="44" t="e">
        <f>SUMIFS(Vendas!#REF!,Vendas!$A:$A,"&gt;="&amp;A9,Vendas!$A:$A,"&lt;"&amp;EOMONTH(A9,0)+1)</f>
        <v>#REF!</v>
      </c>
      <c r="D9" s="44" t="e">
        <f>SUMIFS(Vendas!#REF!,Vendas!$A:$A,"&gt;="&amp;A9,Vendas!$A:$A,"&lt;"&amp;EOMONTH(A9,0)+1)</f>
        <v>#REF!</v>
      </c>
      <c r="E9" s="45" t="e">
        <f>SUMIFS(Vendas!#REF!,Vendas!$A:$A,"&gt;="&amp;A9,Vendas!$A:$A,"&lt;"&amp;EOMONTH(A9,0)+1)</f>
        <v>#REF!</v>
      </c>
      <c r="F9" s="45" t="e">
        <f>SUMIFS(Vendas!#REF!,Vendas!$A:$A,"&gt;="&amp;A9,Vendas!$A:$A,"&lt;"&amp;EOMONTH(A9,0)+1)</f>
        <v>#REF!</v>
      </c>
      <c r="G9" s="45">
        <f>SUMIFS(Vendas!$G:$G,Vendas!$A:$A,"&gt;="&amp;A9,Vendas!$A:$A,"&lt;"&amp;EOMONTH(A9,0)+1)</f>
        <v>0</v>
      </c>
      <c r="H9" s="45" t="e">
        <f>SUMIFS(Vendas!#REF!,Vendas!$A:$A,"&gt;="&amp;A9,Vendas!$A:$A,"&lt;"&amp;EOMONTH(A9,0)+1)</f>
        <v>#REF!</v>
      </c>
      <c r="I9" s="45">
        <f>SUMIFS(Vendas!$K:$K,Vendas!$A:$A,"&gt;="&amp;A9,Vendas!$A:$A,"&lt;"&amp;EOMONTH(A9,0)+1)</f>
        <v>0</v>
      </c>
      <c r="J9" s="46" t="str">
        <f t="shared" si="0"/>
        <v/>
      </c>
      <c r="K9" s="45" t="e">
        <f>SUMIFS(Vendas!#REF!,Vendas!$A:$A,"&gt;="&amp;A9,Vendas!$A:$A,"&lt;"&amp;EOMONTH(A9,0)+1)</f>
        <v>#REF!</v>
      </c>
      <c r="L9" s="45">
        <v>0</v>
      </c>
      <c r="M9" s="47">
        <v>0</v>
      </c>
      <c r="N9" s="47">
        <v>0</v>
      </c>
      <c r="O9" s="48">
        <v>0</v>
      </c>
      <c r="P9" s="48">
        <v>1</v>
      </c>
      <c r="Q9" s="48">
        <v>0</v>
      </c>
      <c r="R9" s="49">
        <v>1</v>
      </c>
    </row>
    <row r="10" spans="1:18">
      <c r="A10" s="50" t="str">
        <f>IF(DATE(YEAR(MIN(Vendas!$A:$A)),MONTH(MIN(Vendas!$A:$A))+ROW()-ROW($A$6),1)&gt;DATE(YEAR(MAX(Vendas!$A:$A)),MONTH(MAX(Vendas!$A:$A)),1),"",DATE(YEAR(MIN(Vendas!$A:$A)),MONTH(MIN(Vendas!$A:$A))+ROW()-ROW($A$6),1))</f>
        <v/>
      </c>
      <c r="B10" s="51" t="e">
        <f>SUMIFS(Vendas!#REF!,Vendas!$A:$A,"&gt;="&amp;A10,Vendas!$A:$A,"&lt;"&amp;EOMONTH(A10,0)+1)/1000</f>
        <v>#REF!</v>
      </c>
      <c r="C10" s="52" t="e">
        <f>SUMIFS(Vendas!#REF!,Vendas!$A:$A,"&gt;="&amp;A10,Vendas!$A:$A,"&lt;"&amp;EOMONTH(A10,0)+1)</f>
        <v>#REF!</v>
      </c>
      <c r="D10" s="52" t="e">
        <f>SUMIFS(Vendas!#REF!,Vendas!$A:$A,"&gt;="&amp;A10,Vendas!$A:$A,"&lt;"&amp;EOMONTH(A10,0)+1)</f>
        <v>#REF!</v>
      </c>
      <c r="E10" s="53" t="e">
        <f>SUMIFS(Vendas!#REF!,Vendas!$A:$A,"&gt;="&amp;A10,Vendas!$A:$A,"&lt;"&amp;EOMONTH(A10,0)+1)</f>
        <v>#REF!</v>
      </c>
      <c r="F10" s="53" t="e">
        <f>SUMIFS(Vendas!#REF!,Vendas!$A:$A,"&gt;="&amp;A10,Vendas!$A:$A,"&lt;"&amp;EOMONTH(A10,0)+1)</f>
        <v>#REF!</v>
      </c>
      <c r="G10" s="53">
        <f>SUMIFS(Vendas!$G:$G,Vendas!$A:$A,"&gt;="&amp;A10,Vendas!$A:$A,"&lt;"&amp;EOMONTH(A10,0)+1)</f>
        <v>0</v>
      </c>
      <c r="H10" s="53" t="e">
        <f>SUMIFS(Vendas!#REF!,Vendas!$A:$A,"&gt;="&amp;A10,Vendas!$A:$A,"&lt;"&amp;EOMONTH(A10,0)+1)</f>
        <v>#REF!</v>
      </c>
      <c r="I10" s="53">
        <f>SUMIFS(Vendas!$K:$K,Vendas!$A:$A,"&gt;="&amp;A10,Vendas!$A:$A,"&lt;"&amp;EOMONTH(A10,0)+1)</f>
        <v>0</v>
      </c>
      <c r="J10" s="54" t="str">
        <f t="shared" si="0"/>
        <v/>
      </c>
      <c r="K10" s="53" t="e">
        <f>SUMIFS(Vendas!#REF!,Vendas!$A:$A,"&gt;="&amp;A10,Vendas!$A:$A,"&lt;"&amp;EOMONTH(A10,0)+1)</f>
        <v>#REF!</v>
      </c>
      <c r="L10" s="53">
        <v>0</v>
      </c>
      <c r="M10" s="55">
        <v>0</v>
      </c>
      <c r="N10" s="55">
        <v>0</v>
      </c>
      <c r="O10" s="56">
        <v>0</v>
      </c>
      <c r="P10" s="56">
        <v>1</v>
      </c>
      <c r="Q10" s="56">
        <v>0</v>
      </c>
      <c r="R10" s="57">
        <v>1</v>
      </c>
    </row>
    <row r="11" spans="1:18">
      <c r="A11" s="42" t="str">
        <f>IF(DATE(YEAR(MIN(Vendas!$A:$A)),MONTH(MIN(Vendas!$A:$A))+ROW()-ROW($A$6),1)&gt;DATE(YEAR(MAX(Vendas!$A:$A)),MONTH(MAX(Vendas!$A:$A)),1),"",DATE(YEAR(MIN(Vendas!$A:$A)),MONTH(MIN(Vendas!$A:$A))+ROW()-ROW($A$6),1))</f>
        <v/>
      </c>
      <c r="B11" s="43" t="e">
        <f>SUMIFS(Vendas!#REF!,Vendas!$A:$A,"&gt;="&amp;A11,Vendas!$A:$A,"&lt;"&amp;EOMONTH(A11,0)+1)/1000</f>
        <v>#REF!</v>
      </c>
      <c r="C11" s="44" t="e">
        <f>SUMIFS(Vendas!#REF!,Vendas!$A:$A,"&gt;="&amp;A11,Vendas!$A:$A,"&lt;"&amp;EOMONTH(A11,0)+1)</f>
        <v>#REF!</v>
      </c>
      <c r="D11" s="44" t="e">
        <f>SUMIFS(Vendas!#REF!,Vendas!$A:$A,"&gt;="&amp;A11,Vendas!$A:$A,"&lt;"&amp;EOMONTH(A11,0)+1)</f>
        <v>#REF!</v>
      </c>
      <c r="E11" s="45" t="e">
        <f>SUMIFS(Vendas!#REF!,Vendas!$A:$A,"&gt;="&amp;A11,Vendas!$A:$A,"&lt;"&amp;EOMONTH(A11,0)+1)</f>
        <v>#REF!</v>
      </c>
      <c r="F11" s="45" t="e">
        <f>SUMIFS(Vendas!#REF!,Vendas!$A:$A,"&gt;="&amp;A11,Vendas!$A:$A,"&lt;"&amp;EOMONTH(A11,0)+1)</f>
        <v>#REF!</v>
      </c>
      <c r="G11" s="45">
        <f>SUMIFS(Vendas!$G:$G,Vendas!$A:$A,"&gt;="&amp;A11,Vendas!$A:$A,"&lt;"&amp;EOMONTH(A11,0)+1)</f>
        <v>0</v>
      </c>
      <c r="H11" s="45" t="e">
        <f>SUMIFS(Vendas!#REF!,Vendas!$A:$A,"&gt;="&amp;A11,Vendas!$A:$A,"&lt;"&amp;EOMONTH(A11,0)+1)</f>
        <v>#REF!</v>
      </c>
      <c r="I11" s="45">
        <f>SUMIFS(Vendas!$K:$K,Vendas!$A:$A,"&gt;="&amp;A11,Vendas!$A:$A,"&lt;"&amp;EOMONTH(A11,0)+1)</f>
        <v>0</v>
      </c>
      <c r="J11" s="46" t="str">
        <f t="shared" si="0"/>
        <v/>
      </c>
      <c r="K11" s="45" t="e">
        <f>SUMIFS(Vendas!#REF!,Vendas!$A:$A,"&gt;="&amp;A11,Vendas!$A:$A,"&lt;"&amp;EOMONTH(A11,0)+1)</f>
        <v>#REF!</v>
      </c>
      <c r="L11" s="45">
        <v>0</v>
      </c>
      <c r="M11" s="47">
        <v>0</v>
      </c>
      <c r="N11" s="47">
        <v>0</v>
      </c>
      <c r="O11" s="48">
        <v>0</v>
      </c>
      <c r="P11" s="48">
        <v>1</v>
      </c>
      <c r="Q11" s="48">
        <v>0</v>
      </c>
      <c r="R11" s="49">
        <v>1</v>
      </c>
    </row>
    <row r="12" spans="1:18">
      <c r="A12" s="50" t="str">
        <f>IF(DATE(YEAR(MIN(Vendas!$A:$A)),MONTH(MIN(Vendas!$A:$A))+ROW()-ROW($A$6),1)&gt;DATE(YEAR(MAX(Vendas!$A:$A)),MONTH(MAX(Vendas!$A:$A)),1),"",DATE(YEAR(MIN(Vendas!$A:$A)),MONTH(MIN(Vendas!$A:$A))+ROW()-ROW($A$6),1))</f>
        <v/>
      </c>
      <c r="B12" s="51" t="e">
        <f>SUMIFS(Vendas!#REF!,Vendas!$A:$A,"&gt;="&amp;A12,Vendas!$A:$A,"&lt;"&amp;EOMONTH(A12,0)+1)/1000</f>
        <v>#REF!</v>
      </c>
      <c r="C12" s="52" t="e">
        <f>SUMIFS(Vendas!#REF!,Vendas!$A:$A,"&gt;="&amp;A12,Vendas!$A:$A,"&lt;"&amp;EOMONTH(A12,0)+1)</f>
        <v>#REF!</v>
      </c>
      <c r="D12" s="52" t="e">
        <f>SUMIFS(Vendas!#REF!,Vendas!$A:$A,"&gt;="&amp;A12,Vendas!$A:$A,"&lt;"&amp;EOMONTH(A12,0)+1)</f>
        <v>#REF!</v>
      </c>
      <c r="E12" s="53" t="e">
        <f>SUMIFS(Vendas!#REF!,Vendas!$A:$A,"&gt;="&amp;A12,Vendas!$A:$A,"&lt;"&amp;EOMONTH(A12,0)+1)</f>
        <v>#REF!</v>
      </c>
      <c r="F12" s="53" t="e">
        <f>SUMIFS(Vendas!#REF!,Vendas!$A:$A,"&gt;="&amp;A12,Vendas!$A:$A,"&lt;"&amp;EOMONTH(A12,0)+1)</f>
        <v>#REF!</v>
      </c>
      <c r="G12" s="53">
        <f>SUMIFS(Vendas!$G:$G,Vendas!$A:$A,"&gt;="&amp;A12,Vendas!$A:$A,"&lt;"&amp;EOMONTH(A12,0)+1)</f>
        <v>0</v>
      </c>
      <c r="H12" s="53" t="e">
        <f>SUMIFS(Vendas!#REF!,Vendas!$A:$A,"&gt;="&amp;A12,Vendas!$A:$A,"&lt;"&amp;EOMONTH(A12,0)+1)</f>
        <v>#REF!</v>
      </c>
      <c r="I12" s="53">
        <f>SUMIFS(Vendas!$K:$K,Vendas!$A:$A,"&gt;="&amp;A12,Vendas!$A:$A,"&lt;"&amp;EOMONTH(A12,0)+1)</f>
        <v>0</v>
      </c>
      <c r="J12" s="54" t="str">
        <f t="shared" si="0"/>
        <v/>
      </c>
      <c r="K12" s="53" t="e">
        <f>SUMIFS(Vendas!#REF!,Vendas!$A:$A,"&gt;="&amp;A12,Vendas!$A:$A,"&lt;"&amp;EOMONTH(A12,0)+1)</f>
        <v>#REF!</v>
      </c>
      <c r="L12" s="53">
        <v>0</v>
      </c>
      <c r="M12" s="55">
        <v>0</v>
      </c>
      <c r="N12" s="55">
        <v>0</v>
      </c>
      <c r="O12" s="56">
        <v>0</v>
      </c>
      <c r="P12" s="56">
        <v>1</v>
      </c>
      <c r="Q12" s="56">
        <v>0</v>
      </c>
      <c r="R12" s="57">
        <v>1</v>
      </c>
    </row>
    <row r="13" spans="1:18">
      <c r="A13" s="42" t="str">
        <f>IF(DATE(YEAR(MIN(Vendas!$A:$A)),MONTH(MIN(Vendas!$A:$A))+ROW()-ROW($A$6),1)&gt;DATE(YEAR(MAX(Vendas!$A:$A)),MONTH(MAX(Vendas!$A:$A)),1),"",DATE(YEAR(MIN(Vendas!$A:$A)),MONTH(MIN(Vendas!$A:$A))+ROW()-ROW($A$6),1))</f>
        <v/>
      </c>
      <c r="B13" s="43" t="e">
        <f>SUMIFS(Vendas!#REF!,Vendas!$A:$A,"&gt;="&amp;A13,Vendas!$A:$A,"&lt;"&amp;EOMONTH(A13,0)+1)/1000</f>
        <v>#REF!</v>
      </c>
      <c r="C13" s="44" t="e">
        <f>SUMIFS(Vendas!#REF!,Vendas!$A:$A,"&gt;="&amp;A13,Vendas!$A:$A,"&lt;"&amp;EOMONTH(A13,0)+1)</f>
        <v>#REF!</v>
      </c>
      <c r="D13" s="44" t="e">
        <f>SUMIFS(Vendas!#REF!,Vendas!$A:$A,"&gt;="&amp;A13,Vendas!$A:$A,"&lt;"&amp;EOMONTH(A13,0)+1)</f>
        <v>#REF!</v>
      </c>
      <c r="E13" s="45" t="e">
        <f>SUMIFS(Vendas!#REF!,Vendas!$A:$A,"&gt;="&amp;A13,Vendas!$A:$A,"&lt;"&amp;EOMONTH(A13,0)+1)</f>
        <v>#REF!</v>
      </c>
      <c r="F13" s="45" t="e">
        <f>SUMIFS(Vendas!#REF!,Vendas!$A:$A,"&gt;="&amp;A13,Vendas!$A:$A,"&lt;"&amp;EOMONTH(A13,0)+1)</f>
        <v>#REF!</v>
      </c>
      <c r="G13" s="45">
        <f>SUMIFS(Vendas!$G:$G,Vendas!$A:$A,"&gt;="&amp;A13,Vendas!$A:$A,"&lt;"&amp;EOMONTH(A13,0)+1)</f>
        <v>0</v>
      </c>
      <c r="H13" s="45" t="e">
        <f>SUMIFS(Vendas!#REF!,Vendas!$A:$A,"&gt;="&amp;A13,Vendas!$A:$A,"&lt;"&amp;EOMONTH(A13,0)+1)</f>
        <v>#REF!</v>
      </c>
      <c r="I13" s="45">
        <f>SUMIFS(Vendas!$K:$K,Vendas!$A:$A,"&gt;="&amp;A13,Vendas!$A:$A,"&lt;"&amp;EOMONTH(A13,0)+1)</f>
        <v>0</v>
      </c>
      <c r="J13" s="46" t="str">
        <f t="shared" si="0"/>
        <v/>
      </c>
      <c r="K13" s="45" t="e">
        <f>SUMIFS(Vendas!#REF!,Vendas!$A:$A,"&gt;="&amp;A13,Vendas!$A:$A,"&lt;"&amp;EOMONTH(A13,0)+1)</f>
        <v>#REF!</v>
      </c>
      <c r="L13" s="45">
        <v>0</v>
      </c>
      <c r="M13" s="47">
        <v>0</v>
      </c>
      <c r="N13" s="47">
        <v>0</v>
      </c>
      <c r="O13" s="48">
        <v>0</v>
      </c>
      <c r="P13" s="48">
        <v>1</v>
      </c>
      <c r="Q13" s="48">
        <v>0</v>
      </c>
      <c r="R13" s="49">
        <v>1</v>
      </c>
    </row>
    <row r="14" spans="1:18">
      <c r="A14" s="50" t="str">
        <f>IF(DATE(YEAR(MIN(Vendas!$A:$A)),MONTH(MIN(Vendas!$A:$A))+ROW()-ROW($A$6),1)&gt;DATE(YEAR(MAX(Vendas!$A:$A)),MONTH(MAX(Vendas!$A:$A)),1),"",DATE(YEAR(MIN(Vendas!$A:$A)),MONTH(MIN(Vendas!$A:$A))+ROW()-ROW($A$6),1))</f>
        <v/>
      </c>
      <c r="B14" s="51" t="e">
        <f>SUMIFS(Vendas!#REF!,Vendas!$A:$A,"&gt;="&amp;A14,Vendas!$A:$A,"&lt;"&amp;EOMONTH(A14,0)+1)/1000</f>
        <v>#REF!</v>
      </c>
      <c r="C14" s="52" t="e">
        <f>SUMIFS(Vendas!#REF!,Vendas!$A:$A,"&gt;="&amp;A14,Vendas!$A:$A,"&lt;"&amp;EOMONTH(A14,0)+1)</f>
        <v>#REF!</v>
      </c>
      <c r="D14" s="52" t="e">
        <f>SUMIFS(Vendas!#REF!,Vendas!$A:$A,"&gt;="&amp;A14,Vendas!$A:$A,"&lt;"&amp;EOMONTH(A14,0)+1)</f>
        <v>#REF!</v>
      </c>
      <c r="E14" s="53" t="e">
        <f>SUMIFS(Vendas!#REF!,Vendas!$A:$A,"&gt;="&amp;A14,Vendas!$A:$A,"&lt;"&amp;EOMONTH(A14,0)+1)</f>
        <v>#REF!</v>
      </c>
      <c r="F14" s="53" t="e">
        <f>SUMIFS(Vendas!#REF!,Vendas!$A:$A,"&gt;="&amp;A14,Vendas!$A:$A,"&lt;"&amp;EOMONTH(A14,0)+1)</f>
        <v>#REF!</v>
      </c>
      <c r="G14" s="53">
        <f>SUMIFS(Vendas!$G:$G,Vendas!$A:$A,"&gt;="&amp;A14,Vendas!$A:$A,"&lt;"&amp;EOMONTH(A14,0)+1)</f>
        <v>0</v>
      </c>
      <c r="H14" s="53" t="e">
        <f>SUMIFS(Vendas!#REF!,Vendas!$A:$A,"&gt;="&amp;A14,Vendas!$A:$A,"&lt;"&amp;EOMONTH(A14,0)+1)</f>
        <v>#REF!</v>
      </c>
      <c r="I14" s="53">
        <f>SUMIFS(Vendas!$K:$K,Vendas!$A:$A,"&gt;="&amp;A14,Vendas!$A:$A,"&lt;"&amp;EOMONTH(A14,0)+1)</f>
        <v>0</v>
      </c>
      <c r="J14" s="54" t="str">
        <f t="shared" si="0"/>
        <v/>
      </c>
      <c r="K14" s="53" t="e">
        <f>SUMIFS(Vendas!#REF!,Vendas!$A:$A,"&gt;="&amp;A14,Vendas!$A:$A,"&lt;"&amp;EOMONTH(A14,0)+1)</f>
        <v>#REF!</v>
      </c>
      <c r="L14" s="53">
        <v>0</v>
      </c>
      <c r="M14" s="55">
        <v>0</v>
      </c>
      <c r="N14" s="55">
        <v>0</v>
      </c>
      <c r="O14" s="56">
        <v>0</v>
      </c>
      <c r="P14" s="56">
        <v>1</v>
      </c>
      <c r="Q14" s="56">
        <v>0</v>
      </c>
      <c r="R14" s="57">
        <v>1</v>
      </c>
    </row>
    <row r="15" spans="1:18">
      <c r="A15" s="42" t="str">
        <f>IF(DATE(YEAR(MIN(Vendas!$A:$A)),MONTH(MIN(Vendas!$A:$A))+ROW()-ROW($A$6),1)&gt;DATE(YEAR(MAX(Vendas!$A:$A)),MONTH(MAX(Vendas!$A:$A)),1),"",DATE(YEAR(MIN(Vendas!$A:$A)),MONTH(MIN(Vendas!$A:$A))+ROW()-ROW($A$6),1))</f>
        <v/>
      </c>
      <c r="B15" s="43" t="e">
        <f>SUMIFS(Vendas!#REF!,Vendas!$A:$A,"&gt;="&amp;A15,Vendas!$A:$A,"&lt;"&amp;EOMONTH(A15,0)+1)/1000</f>
        <v>#REF!</v>
      </c>
      <c r="C15" s="44" t="e">
        <f>SUMIFS(Vendas!#REF!,Vendas!$A:$A,"&gt;="&amp;A15,Vendas!$A:$A,"&lt;"&amp;EOMONTH(A15,0)+1)</f>
        <v>#REF!</v>
      </c>
      <c r="D15" s="44" t="e">
        <f>SUMIFS(Vendas!#REF!,Vendas!$A:$A,"&gt;="&amp;A15,Vendas!$A:$A,"&lt;"&amp;EOMONTH(A15,0)+1)</f>
        <v>#REF!</v>
      </c>
      <c r="E15" s="45" t="e">
        <f>SUMIFS(Vendas!#REF!,Vendas!$A:$A,"&gt;="&amp;A15,Vendas!$A:$A,"&lt;"&amp;EOMONTH(A15,0)+1)</f>
        <v>#REF!</v>
      </c>
      <c r="F15" s="45" t="e">
        <f>SUMIFS(Vendas!#REF!,Vendas!$A:$A,"&gt;="&amp;A15,Vendas!$A:$A,"&lt;"&amp;EOMONTH(A15,0)+1)</f>
        <v>#REF!</v>
      </c>
      <c r="G15" s="45">
        <f>SUMIFS(Vendas!$G:$G,Vendas!$A:$A,"&gt;="&amp;A15,Vendas!$A:$A,"&lt;"&amp;EOMONTH(A15,0)+1)</f>
        <v>0</v>
      </c>
      <c r="H15" s="45" t="e">
        <f>SUMIFS(Vendas!#REF!,Vendas!$A:$A,"&gt;="&amp;A15,Vendas!$A:$A,"&lt;"&amp;EOMONTH(A15,0)+1)</f>
        <v>#REF!</v>
      </c>
      <c r="I15" s="45">
        <f>SUMIFS(Vendas!$K:$K,Vendas!$A:$A,"&gt;="&amp;A15,Vendas!$A:$A,"&lt;"&amp;EOMONTH(A15,0)+1)</f>
        <v>0</v>
      </c>
      <c r="J15" s="46" t="str">
        <f t="shared" si="0"/>
        <v/>
      </c>
      <c r="K15" s="45" t="e">
        <f>SUMIFS(Vendas!#REF!,Vendas!$A:$A,"&gt;="&amp;A15,Vendas!$A:$A,"&lt;"&amp;EOMONTH(A15,0)+1)</f>
        <v>#REF!</v>
      </c>
      <c r="L15" s="45">
        <v>0</v>
      </c>
      <c r="M15" s="47">
        <v>0</v>
      </c>
      <c r="N15" s="47">
        <v>0</v>
      </c>
      <c r="O15" s="48">
        <v>0</v>
      </c>
      <c r="P15" s="48">
        <v>1</v>
      </c>
      <c r="Q15" s="48">
        <v>0</v>
      </c>
      <c r="R15" s="49">
        <v>1</v>
      </c>
    </row>
    <row r="16" spans="1:18">
      <c r="A16" s="50" t="str">
        <f>IF(DATE(YEAR(MIN(Vendas!$A:$A)),MONTH(MIN(Vendas!$A:$A))+ROW()-ROW($A$6),1)&gt;DATE(YEAR(MAX(Vendas!$A:$A)),MONTH(MAX(Vendas!$A:$A)),1),"",DATE(YEAR(MIN(Vendas!$A:$A)),MONTH(MIN(Vendas!$A:$A))+ROW()-ROW($A$6),1))</f>
        <v/>
      </c>
      <c r="B16" s="51" t="e">
        <f>SUMIFS(Vendas!#REF!,Vendas!$A:$A,"&gt;="&amp;A16,Vendas!$A:$A,"&lt;"&amp;EOMONTH(A16,0)+1)/1000</f>
        <v>#REF!</v>
      </c>
      <c r="C16" s="52" t="e">
        <f>SUMIFS(Vendas!#REF!,Vendas!$A:$A,"&gt;="&amp;A16,Vendas!$A:$A,"&lt;"&amp;EOMONTH(A16,0)+1)</f>
        <v>#REF!</v>
      </c>
      <c r="D16" s="52" t="e">
        <f>SUMIFS(Vendas!#REF!,Vendas!$A:$A,"&gt;="&amp;A16,Vendas!$A:$A,"&lt;"&amp;EOMONTH(A16,0)+1)</f>
        <v>#REF!</v>
      </c>
      <c r="E16" s="53" t="e">
        <f>SUMIFS(Vendas!#REF!,Vendas!$A:$A,"&gt;="&amp;A16,Vendas!$A:$A,"&lt;"&amp;EOMONTH(A16,0)+1)</f>
        <v>#REF!</v>
      </c>
      <c r="F16" s="53" t="e">
        <f>SUMIFS(Vendas!#REF!,Vendas!$A:$A,"&gt;="&amp;A16,Vendas!$A:$A,"&lt;"&amp;EOMONTH(A16,0)+1)</f>
        <v>#REF!</v>
      </c>
      <c r="G16" s="53">
        <f>SUMIFS(Vendas!$G:$G,Vendas!$A:$A,"&gt;="&amp;A16,Vendas!$A:$A,"&lt;"&amp;EOMONTH(A16,0)+1)</f>
        <v>0</v>
      </c>
      <c r="H16" s="53" t="e">
        <f>SUMIFS(Vendas!#REF!,Vendas!$A:$A,"&gt;="&amp;A16,Vendas!$A:$A,"&lt;"&amp;EOMONTH(A16,0)+1)</f>
        <v>#REF!</v>
      </c>
      <c r="I16" s="53">
        <f>SUMIFS(Vendas!$K:$K,Vendas!$A:$A,"&gt;="&amp;A16,Vendas!$A:$A,"&lt;"&amp;EOMONTH(A16,0)+1)</f>
        <v>0</v>
      </c>
      <c r="J16" s="54" t="str">
        <f t="shared" si="0"/>
        <v/>
      </c>
      <c r="K16" s="53" t="e">
        <f>SUMIFS(Vendas!#REF!,Vendas!$A:$A,"&gt;="&amp;A16,Vendas!$A:$A,"&lt;"&amp;EOMONTH(A16,0)+1)</f>
        <v>#REF!</v>
      </c>
      <c r="L16" s="53">
        <v>0</v>
      </c>
      <c r="M16" s="55">
        <v>0</v>
      </c>
      <c r="N16" s="55">
        <v>0</v>
      </c>
      <c r="O16" s="56">
        <v>0</v>
      </c>
      <c r="P16" s="56">
        <v>1</v>
      </c>
      <c r="Q16" s="56">
        <v>0</v>
      </c>
      <c r="R16" s="57">
        <v>1</v>
      </c>
    </row>
    <row r="17" spans="1:18">
      <c r="A17" s="42" t="str">
        <f>IF(DATE(YEAR(MIN(Vendas!$A:$A)),MONTH(MIN(Vendas!$A:$A))+ROW()-ROW($A$6),1)&gt;DATE(YEAR(MAX(Vendas!$A:$A)),MONTH(MAX(Vendas!$A:$A)),1),"",DATE(YEAR(MIN(Vendas!$A:$A)),MONTH(MIN(Vendas!$A:$A))+ROW()-ROW($A$6),1))</f>
        <v/>
      </c>
      <c r="B17" s="43" t="e">
        <f>SUMIFS(Vendas!#REF!,Vendas!$A:$A,"&gt;="&amp;A17,Vendas!$A:$A,"&lt;"&amp;EOMONTH(A17,0)+1)/1000</f>
        <v>#REF!</v>
      </c>
      <c r="C17" s="44" t="e">
        <f>SUMIFS(Vendas!#REF!,Vendas!$A:$A,"&gt;="&amp;A17,Vendas!$A:$A,"&lt;"&amp;EOMONTH(A17,0)+1)</f>
        <v>#REF!</v>
      </c>
      <c r="D17" s="44" t="e">
        <f>SUMIFS(Vendas!#REF!,Vendas!$A:$A,"&gt;="&amp;A17,Vendas!$A:$A,"&lt;"&amp;EOMONTH(A17,0)+1)</f>
        <v>#REF!</v>
      </c>
      <c r="E17" s="45" t="e">
        <f>SUMIFS(Vendas!#REF!,Vendas!$A:$A,"&gt;="&amp;A17,Vendas!$A:$A,"&lt;"&amp;EOMONTH(A17,0)+1)</f>
        <v>#REF!</v>
      </c>
      <c r="F17" s="45" t="e">
        <f>SUMIFS(Vendas!#REF!,Vendas!$A:$A,"&gt;="&amp;A17,Vendas!$A:$A,"&lt;"&amp;EOMONTH(A17,0)+1)</f>
        <v>#REF!</v>
      </c>
      <c r="G17" s="45">
        <f>SUMIFS(Vendas!$G:$G,Vendas!$A:$A,"&gt;="&amp;A17,Vendas!$A:$A,"&lt;"&amp;EOMONTH(A17,0)+1)</f>
        <v>0</v>
      </c>
      <c r="H17" s="45" t="e">
        <f>SUMIFS(Vendas!#REF!,Vendas!$A:$A,"&gt;="&amp;A17,Vendas!$A:$A,"&lt;"&amp;EOMONTH(A17,0)+1)</f>
        <v>#REF!</v>
      </c>
      <c r="I17" s="45">
        <f>SUMIFS(Vendas!$K:$K,Vendas!$A:$A,"&gt;="&amp;A17,Vendas!$A:$A,"&lt;"&amp;EOMONTH(A17,0)+1)</f>
        <v>0</v>
      </c>
      <c r="J17" s="46" t="str">
        <f t="shared" si="0"/>
        <v/>
      </c>
      <c r="K17" s="45" t="e">
        <f>SUMIFS(Vendas!#REF!,Vendas!$A:$A,"&gt;="&amp;A17,Vendas!$A:$A,"&lt;"&amp;EOMONTH(A17,0)+1)</f>
        <v>#REF!</v>
      </c>
      <c r="L17" s="45">
        <v>0</v>
      </c>
      <c r="M17" s="47">
        <v>0</v>
      </c>
      <c r="N17" s="47">
        <v>0</v>
      </c>
      <c r="O17" s="48">
        <v>0</v>
      </c>
      <c r="P17" s="48">
        <v>1</v>
      </c>
      <c r="Q17" s="48">
        <v>0</v>
      </c>
      <c r="R17" s="49">
        <v>1</v>
      </c>
    </row>
    <row r="18" spans="1:18" ht="17" thickBot="1">
      <c r="A18" s="58" t="str">
        <f>IF(DATE(YEAR(MIN(Vendas!$A:$A)),MONTH(MIN(Vendas!$A:$A))+ROW()-ROW($A$6),1)&gt;DATE(YEAR(MAX(Vendas!$A:$A)),MONTH(MAX(Vendas!$A:$A)),1),"",DATE(YEAR(MIN(Vendas!$A:$A)),MONTH(MIN(Vendas!$A:$A))+ROW()-ROW($A$6),1))</f>
        <v/>
      </c>
      <c r="B18" s="59" t="e">
        <f>SUMIFS(Vendas!#REF!,Vendas!$A:$A,"&gt;="&amp;A18,Vendas!$A:$A,"&lt;"&amp;EOMONTH(A18,0)+1)/1000</f>
        <v>#REF!</v>
      </c>
      <c r="C18" s="60" t="e">
        <f>SUMIFS(Vendas!#REF!,Vendas!$A:$A,"&gt;="&amp;A18,Vendas!$A:$A,"&lt;"&amp;EOMONTH(A18,0)+1)</f>
        <v>#REF!</v>
      </c>
      <c r="D18" s="60" t="e">
        <f>SUMIFS(Vendas!#REF!,Vendas!$A:$A,"&gt;="&amp;A18,Vendas!$A:$A,"&lt;"&amp;EOMONTH(A18,0)+1)</f>
        <v>#REF!</v>
      </c>
      <c r="E18" s="61" t="e">
        <f>SUMIFS(Vendas!#REF!,Vendas!$A:$A,"&gt;="&amp;A18,Vendas!$A:$A,"&lt;"&amp;EOMONTH(A18,0)+1)</f>
        <v>#REF!</v>
      </c>
      <c r="F18" s="61" t="e">
        <f>SUMIFS(Vendas!#REF!,Vendas!$A:$A,"&gt;="&amp;A18,Vendas!$A:$A,"&lt;"&amp;EOMONTH(A18,0)+1)</f>
        <v>#REF!</v>
      </c>
      <c r="G18" s="61">
        <f>SUMIFS(Vendas!$G:$G,Vendas!$A:$A,"&gt;="&amp;A18,Vendas!$A:$A,"&lt;"&amp;EOMONTH(A18,0)+1)</f>
        <v>0</v>
      </c>
      <c r="H18" s="61" t="e">
        <f>SUMIFS(Vendas!#REF!,Vendas!$A:$A,"&gt;="&amp;A18,Vendas!$A:$A,"&lt;"&amp;EOMONTH(A18,0)+1)</f>
        <v>#REF!</v>
      </c>
      <c r="I18" s="61">
        <f>SUMIFS(Vendas!$K:$K,Vendas!$A:$A,"&gt;="&amp;A18,Vendas!$A:$A,"&lt;"&amp;EOMONTH(A18,0)+1)</f>
        <v>0</v>
      </c>
      <c r="J18" s="62" t="str">
        <f t="shared" si="0"/>
        <v/>
      </c>
      <c r="K18" s="61" t="e">
        <f>SUMIFS(Vendas!#REF!,Vendas!$A:$A,"&gt;="&amp;A18,Vendas!$A:$A,"&lt;"&amp;EOMONTH(A18,0)+1)</f>
        <v>#REF!</v>
      </c>
      <c r="L18" s="61">
        <v>0</v>
      </c>
      <c r="M18" s="63">
        <v>0</v>
      </c>
      <c r="N18" s="63">
        <v>0</v>
      </c>
      <c r="O18" s="40">
        <v>0</v>
      </c>
      <c r="P18" s="40">
        <v>1</v>
      </c>
      <c r="Q18" s="40">
        <v>0</v>
      </c>
      <c r="R18" s="64">
        <v>1</v>
      </c>
    </row>
    <row r="19" spans="1:18" ht="17" thickBot="1">
      <c r="A19" s="65" t="s">
        <v>107</v>
      </c>
      <c r="B19" s="66" t="e">
        <f>SUM(B$2:INDEX(B:B,MATCH(9.99999999999999E+307,A:A)))</f>
        <v>#REF!</v>
      </c>
      <c r="C19" s="67" t="e">
        <f>SUM(C$2:INDEX(C:C,MATCH(9.99999999999999E+307,A:A)))</f>
        <v>#REF!</v>
      </c>
      <c r="D19" s="67" t="e">
        <f>SUM(D$6:INDEX(D:D,MATCH(9.99999999999999E+307,A:A)))</f>
        <v>#REF!</v>
      </c>
      <c r="E19" s="68" t="e">
        <f>SUM(E$6:INDEX(E:E,MATCH(9.99999999999999E+307,A:A)))</f>
        <v>#REF!</v>
      </c>
      <c r="F19" s="68" t="e">
        <f>SUM(F$6:INDEX(F:F,MATCH(9.99999999999999E+307,A:A)))</f>
        <v>#REF!</v>
      </c>
      <c r="G19" s="68">
        <f>SUM(G$2:INDEX(G:G,MATCH(9.99999999999999E+307,A:A)))</f>
        <v>0</v>
      </c>
      <c r="H19" s="68" t="e">
        <f>SUM(H$6:INDEX(H:H,MATCH(9.99999999999999E+307,A:A)))</f>
        <v>#REF!</v>
      </c>
      <c r="I19" s="68">
        <f>SUM(I$2:INDEX(I:I,MATCH(9.99999999999999E+307,A:A)))</f>
        <v>80</v>
      </c>
      <c r="J19" s="69" t="str">
        <f t="shared" ref="J19" si="1">IF(G19=0,"",(I19-G19)/G19)</f>
        <v/>
      </c>
      <c r="K19" s="68" t="e">
        <f>SUM(K$2:INDEX(K:K,MATCH(9.99999999999999E+307,A:A)))</f>
        <v>#REF!</v>
      </c>
      <c r="L19" s="68">
        <f>SUM(L$6:INDEX(N:N,MATCH(9.99999999999999E+307,A:A)))</f>
        <v>193.91666666666666</v>
      </c>
      <c r="M19" s="70">
        <f>SUM(M$6:INDEX(M:M,MATCH(9.99999999999999E+307,A:A)))</f>
        <v>193.91666666666666</v>
      </c>
      <c r="N19" s="70">
        <f>SUM(N$6:INDEX(N:N,MATCH(9.99999999999999E+307,A:A)))</f>
        <v>0</v>
      </c>
      <c r="O19" s="71">
        <v>1.9391666666666665E-2</v>
      </c>
      <c r="P19" s="71">
        <v>0.9806083333333333</v>
      </c>
      <c r="Q19" s="71">
        <v>0</v>
      </c>
      <c r="R19" s="72">
        <v>1</v>
      </c>
    </row>
    <row r="21" spans="1:18">
      <c r="J21" s="267" t="s">
        <v>108</v>
      </c>
      <c r="O21" s="267" t="s">
        <v>109</v>
      </c>
    </row>
    <row r="22" spans="1:18">
      <c r="J22" s="267"/>
      <c r="O22" s="267"/>
    </row>
    <row r="23" spans="1:18">
      <c r="J23" s="267"/>
      <c r="O23" s="267"/>
    </row>
    <row r="24" spans="1:18">
      <c r="J24" s="267"/>
      <c r="O24" s="267"/>
    </row>
    <row r="25" spans="1:18">
      <c r="J25" s="267"/>
      <c r="O25" s="267"/>
    </row>
    <row r="26" spans="1:18">
      <c r="J26" s="267"/>
      <c r="O26" s="267"/>
    </row>
    <row r="27" spans="1:18">
      <c r="J27" s="267"/>
      <c r="O27" s="267"/>
    </row>
    <row r="28" spans="1:18">
      <c r="J28" s="267"/>
      <c r="O28" s="267"/>
    </row>
    <row r="29" spans="1:18">
      <c r="J29" s="267"/>
      <c r="O29" s="267"/>
    </row>
  </sheetData>
  <mergeCells count="4">
    <mergeCell ref="A1:B4"/>
    <mergeCell ref="C1:R4"/>
    <mergeCell ref="J21:J29"/>
    <mergeCell ref="O21:O2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Orçamentos</vt:lpstr>
      <vt:lpstr>Vendas</vt:lpstr>
      <vt:lpstr>Produtos</vt:lpstr>
      <vt:lpstr>Estoque</vt:lpstr>
      <vt:lpstr>Impressoras</vt:lpstr>
      <vt:lpstr>Outros</vt:lpstr>
      <vt:lpstr>Filamentos</vt:lpstr>
      <vt:lpstr>DRE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Gilberto C. de Castro</dc:creator>
  <cp:keywords/>
  <dc:description/>
  <cp:lastModifiedBy>Everton Câmara de Castro</cp:lastModifiedBy>
  <cp:revision/>
  <dcterms:created xsi:type="dcterms:W3CDTF">2026-02-26T11:45:23Z</dcterms:created>
  <dcterms:modified xsi:type="dcterms:W3CDTF">2026-04-24T03:31:17Z</dcterms:modified>
  <cp:category/>
  <cp:contentStatus/>
</cp:coreProperties>
</file>